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説明" sheetId="1" state="visible" r:id="rId1"/>
    <sheet name="review" sheetId="2" state="visible" r:id="rId2"/>
  </sheets>
  <definedNames>
    <definedName name="_xlnm._FilterDatabase" localSheetId="1" hidden="1">'review'!$A$1:$P$90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font>
    <font>
      <color rgb="000563C1"/>
      <u val="single"/>
    </font>
  </fonts>
  <fills count="4">
    <fill>
      <patternFill/>
    </fill>
    <fill>
      <patternFill patternType="gray125"/>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xf numFmtId="0" fontId="2" fillId="3" borderId="0" pivotButton="0" quotePrefix="0" xfId="0"/>
    <xf numFmtId="0" fontId="2" fillId="2" borderId="0" pivotButton="0" quotePrefix="0" xfId="0"/>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oi.org/10.1007/s00535-022-01861-z" TargetMode="External" Id="rId1" /><Relationship Type="http://schemas.openxmlformats.org/officeDocument/2006/relationships/hyperlink" Target="https://pubmed.ncbi.nlm.nih.gov/35226174/" TargetMode="External" Id="rId2" /><Relationship Type="http://schemas.openxmlformats.org/officeDocument/2006/relationships/hyperlink" Target="https://doi.org/10.1007/s00535-022-01861-z" TargetMode="External" Id="rId3" /><Relationship Type="http://schemas.openxmlformats.org/officeDocument/2006/relationships/hyperlink" Target="https://pubmed.ncbi.nlm.nih.gov/35226174/" TargetMode="External" Id="rId4" /><Relationship Type="http://schemas.openxmlformats.org/officeDocument/2006/relationships/hyperlink" Target="https://doi.org/10.1007/s00535-022-01861-z" TargetMode="External" Id="rId5" /><Relationship Type="http://schemas.openxmlformats.org/officeDocument/2006/relationships/hyperlink" Target="https://pubmed.ncbi.nlm.nih.gov/35226174/" TargetMode="External" Id="rId6" /><Relationship Type="http://schemas.openxmlformats.org/officeDocument/2006/relationships/hyperlink" Target="https://doi.org/10.1007/s00535-022-01861-z" TargetMode="External" Id="rId7" /><Relationship Type="http://schemas.openxmlformats.org/officeDocument/2006/relationships/hyperlink" Target="https://pubmed.ncbi.nlm.nih.gov/35226174/" TargetMode="External" Id="rId8" /><Relationship Type="http://schemas.openxmlformats.org/officeDocument/2006/relationships/hyperlink" Target="https://doi.org/10.1136/gut.45.2.172" TargetMode="External" Id="rId9" /><Relationship Type="http://schemas.openxmlformats.org/officeDocument/2006/relationships/hyperlink" Target="https://pubmed.ncbi.nlm.nih.gov/10403727/" TargetMode="External" Id="rId10" /><Relationship Type="http://schemas.openxmlformats.org/officeDocument/2006/relationships/hyperlink" Target="https://doi.org/10.1007/s00535-022-01861-z" TargetMode="External" Id="rId11" /><Relationship Type="http://schemas.openxmlformats.org/officeDocument/2006/relationships/hyperlink" Target="https://pubmed.ncbi.nlm.nih.gov/35226174/" TargetMode="External" Id="rId12" /><Relationship Type="http://schemas.openxmlformats.org/officeDocument/2006/relationships/hyperlink" Target="https://doi.org/10.1007/s00535-022-01861-z" TargetMode="External" Id="rId13" /><Relationship Type="http://schemas.openxmlformats.org/officeDocument/2006/relationships/hyperlink" Target="https://pubmed.ncbi.nlm.nih.gov/35226174/" TargetMode="External" Id="rId14" /><Relationship Type="http://schemas.openxmlformats.org/officeDocument/2006/relationships/hyperlink" Target="https://doi.org/10.1007/s00535-022-01861-z" TargetMode="External" Id="rId15" /><Relationship Type="http://schemas.openxmlformats.org/officeDocument/2006/relationships/hyperlink" Target="https://pubmed.ncbi.nlm.nih.gov/35226174/" TargetMode="External" Id="rId16" /><Relationship Type="http://schemas.openxmlformats.org/officeDocument/2006/relationships/hyperlink" Target="https://doi.org/10.1136/gutjnl-2023-330616" TargetMode="External" Id="rId17" /><Relationship Type="http://schemas.openxmlformats.org/officeDocument/2006/relationships/hyperlink" Target="https://pubmed.ncbi.nlm.nih.gov/37734911/" TargetMode="External" Id="rId18" /><Relationship Type="http://schemas.openxmlformats.org/officeDocument/2006/relationships/hyperlink" Target="https://doi.org/10.1007/s00535-022-01861-z" TargetMode="External" Id="rId19" /><Relationship Type="http://schemas.openxmlformats.org/officeDocument/2006/relationships/hyperlink" Target="https://pubmed.ncbi.nlm.nih.gov/35226174/" TargetMode="External" Id="rId20" /><Relationship Type="http://schemas.openxmlformats.org/officeDocument/2006/relationships/hyperlink" Target="https://doi.org/10.1007/s00535-022-01861-z" TargetMode="External" Id="rId21" /><Relationship Type="http://schemas.openxmlformats.org/officeDocument/2006/relationships/hyperlink" Target="https://pubmed.ncbi.nlm.nih.gov/35226174/" TargetMode="External" Id="rId22" /><Relationship Type="http://schemas.openxmlformats.org/officeDocument/2006/relationships/hyperlink" Target="https://doi.org/10.1007/s10388-024-01054-y" TargetMode="External" Id="rId23" /><Relationship Type="http://schemas.openxmlformats.org/officeDocument/2006/relationships/hyperlink" Target="https://pubmed.ncbi.nlm.nih.gov/38568243/" TargetMode="External" Id="rId24" /><Relationship Type="http://schemas.openxmlformats.org/officeDocument/2006/relationships/hyperlink" Target="https://doi.org/10.14309/ajg.0000000000001680" TargetMode="External" Id="rId25" /><Relationship Type="http://schemas.openxmlformats.org/officeDocument/2006/relationships/hyperlink" Target="https://pubmed.ncbi.nlm.nih.gov/35354777/" TargetMode="External" Id="rId26" /><Relationship Type="http://schemas.openxmlformats.org/officeDocument/2006/relationships/hyperlink" Target="https://doi.org/10.14309/ajg.0000000000001680" TargetMode="External" Id="rId27" /><Relationship Type="http://schemas.openxmlformats.org/officeDocument/2006/relationships/hyperlink" Target="https://pubmed.ncbi.nlm.nih.gov/35354777/" TargetMode="External" Id="rId28" /><Relationship Type="http://schemas.openxmlformats.org/officeDocument/2006/relationships/hyperlink" Target="https://doi.org/10.1007/s10388-023-00993-2" TargetMode="External" Id="rId29" /><Relationship Type="http://schemas.openxmlformats.org/officeDocument/2006/relationships/hyperlink" Target="https://pubmed.ncbi.nlm.nih.gov/36933136/" TargetMode="External" Id="rId30" /><Relationship Type="http://schemas.openxmlformats.org/officeDocument/2006/relationships/hyperlink" Target="https://doi.org/10.14309/ajg.0000000000001680" TargetMode="External" Id="rId31" /><Relationship Type="http://schemas.openxmlformats.org/officeDocument/2006/relationships/hyperlink" Target="https://pubmed.ncbi.nlm.nih.gov/35354777/" TargetMode="External" Id="rId32" /><Relationship Type="http://schemas.openxmlformats.org/officeDocument/2006/relationships/hyperlink" Target="https://doi.org/10.14309/ajg.0000000000001680" TargetMode="External" Id="rId33" /><Relationship Type="http://schemas.openxmlformats.org/officeDocument/2006/relationships/hyperlink" Target="https://pubmed.ncbi.nlm.nih.gov/35354777/" TargetMode="External" Id="rId34" /><Relationship Type="http://schemas.openxmlformats.org/officeDocument/2006/relationships/hyperlink" Target="https://doi.org/10.14309/ajg.0000000000003194" TargetMode="External" Id="rId35" /><Relationship Type="http://schemas.openxmlformats.org/officeDocument/2006/relationships/hyperlink" Target="https://pubmed.ncbi.nlm.nih.gov/39745304/" TargetMode="External" Id="rId36" /><Relationship Type="http://schemas.openxmlformats.org/officeDocument/2006/relationships/hyperlink" Target="https://doi.org/10.1053/j.gastro.2018.07.009" TargetMode="External" Id="rId37" /><Relationship Type="http://schemas.openxmlformats.org/officeDocument/2006/relationships/hyperlink" Target="https://pubmed.ncbi.nlm.nih.gov/30009819/" TargetMode="External" Id="rId38" /><Relationship Type="http://schemas.openxmlformats.org/officeDocument/2006/relationships/hyperlink" Target="https://doi.org/10.5415/apallergy.2020.10.e16" TargetMode="External" Id="rId39" /><Relationship Type="http://schemas.openxmlformats.org/officeDocument/2006/relationships/hyperlink" Target="https://pubmed.ncbi.nlm.nih.gov/32411581/" TargetMode="External" Id="rId40" /><Relationship Type="http://schemas.openxmlformats.org/officeDocument/2006/relationships/hyperlink" Target="https://doi.org/10.1136/gutjnl-2011-301817" TargetMode="External" Id="rId41" /><Relationship Type="http://schemas.openxmlformats.org/officeDocument/2006/relationships/hyperlink" Target="https://pubmed.ncbi.nlm.nih.gov/22619364/" TargetMode="External" Id="rId42" /><Relationship Type="http://schemas.openxmlformats.org/officeDocument/2006/relationships/hyperlink" Target="https://doi.org/10.14309/ajg.0000000000003194" TargetMode="External" Id="rId43" /><Relationship Type="http://schemas.openxmlformats.org/officeDocument/2006/relationships/hyperlink" Target="https://pubmed.ncbi.nlm.nih.gov/39745304/" TargetMode="External" Id="rId44" /><Relationship Type="http://schemas.openxmlformats.org/officeDocument/2006/relationships/hyperlink" Target="https://doi.org/10.1056/NEJMoa2205982" TargetMode="External" Id="rId45" /><Relationship Type="http://schemas.openxmlformats.org/officeDocument/2006/relationships/hyperlink" Target="https://pubmed.ncbi.nlm.nih.gov/36546624/" TargetMode="External" Id="rId46" /><Relationship Type="http://schemas.openxmlformats.org/officeDocument/2006/relationships/hyperlink" Target="https://doi.org/10.1111/nmo.14058" TargetMode="External" Id="rId47" /><Relationship Type="http://schemas.openxmlformats.org/officeDocument/2006/relationships/hyperlink" Target="https://pubmed.ncbi.nlm.nih.gov/33373111/" TargetMode="External" Id="rId48" /><Relationship Type="http://schemas.openxmlformats.org/officeDocument/2006/relationships/hyperlink" Target="https://doi.org/10.1111/nmo.14058" TargetMode="External" Id="rId49" /><Relationship Type="http://schemas.openxmlformats.org/officeDocument/2006/relationships/hyperlink" Target="https://pubmed.ncbi.nlm.nih.gov/33373111/" TargetMode="External" Id="rId50" /><Relationship Type="http://schemas.openxmlformats.org/officeDocument/2006/relationships/hyperlink" Target="https://doi.org/10.1111/nmo.14058" TargetMode="External" Id="rId51" /><Relationship Type="http://schemas.openxmlformats.org/officeDocument/2006/relationships/hyperlink" Target="https://pubmed.ncbi.nlm.nih.gov/33373111/" TargetMode="External" Id="rId52" /><Relationship Type="http://schemas.openxmlformats.org/officeDocument/2006/relationships/hyperlink" Target="https://doi.org/10.1111/nmo.14058" TargetMode="External" Id="rId53" /><Relationship Type="http://schemas.openxmlformats.org/officeDocument/2006/relationships/hyperlink" Target="https://pubmed.ncbi.nlm.nih.gov/33373111/" TargetMode="External" Id="rId54" /><Relationship Type="http://schemas.openxmlformats.org/officeDocument/2006/relationships/hyperlink" Target="https://doi.org/10.1111/nmo.14058" TargetMode="External" Id="rId55" /><Relationship Type="http://schemas.openxmlformats.org/officeDocument/2006/relationships/hyperlink" Target="https://pubmed.ncbi.nlm.nih.gov/33373111/" TargetMode="External" Id="rId56" /><Relationship Type="http://schemas.openxmlformats.org/officeDocument/2006/relationships/hyperlink" Target="https://doi.org/10.1111/nmo.14058" TargetMode="External" Id="rId57" /><Relationship Type="http://schemas.openxmlformats.org/officeDocument/2006/relationships/hyperlink" Target="https://pubmed.ncbi.nlm.nih.gov/33373111/" TargetMode="External" Id="rId58" /><Relationship Type="http://schemas.openxmlformats.org/officeDocument/2006/relationships/hyperlink" Target="https://doi.org/10.1111/nmo.14058" TargetMode="External" Id="rId59" /><Relationship Type="http://schemas.openxmlformats.org/officeDocument/2006/relationships/hyperlink" Target="https://pubmed.ncbi.nlm.nih.gov/33373111/" TargetMode="External" Id="rId60" /><Relationship Type="http://schemas.openxmlformats.org/officeDocument/2006/relationships/hyperlink" Target="https://doi.org/10.1056/NEJMoa1905380" TargetMode="External" Id="rId61" /><Relationship Type="http://schemas.openxmlformats.org/officeDocument/2006/relationships/hyperlink" Target="https://pubmed.ncbi.nlm.nih.gov/31800987/" TargetMode="External" Id="rId62" /><Relationship Type="http://schemas.openxmlformats.org/officeDocument/2006/relationships/hyperlink" Target="https://doi.org/10.1056/NEJMoa1905380" TargetMode="External" Id="rId63" /><Relationship Type="http://schemas.openxmlformats.org/officeDocument/2006/relationships/hyperlink" Target="https://pubmed.ncbi.nlm.nih.gov/31800987/" TargetMode="External" Id="rId64" /><Relationship Type="http://schemas.openxmlformats.org/officeDocument/2006/relationships/hyperlink" Target="https://doi.org/10.14309/ajg.0000000000000731" TargetMode="External" Id="rId65" /><Relationship Type="http://schemas.openxmlformats.org/officeDocument/2006/relationships/hyperlink" Target="https://pubmed.ncbi.nlm.nih.gov/32773454/" TargetMode="External" Id="rId66" /><Relationship Type="http://schemas.openxmlformats.org/officeDocument/2006/relationships/hyperlink" Target="https://doi.org/10.1007/s10388-023-00993-2" TargetMode="External" Id="rId67" /><Relationship Type="http://schemas.openxmlformats.org/officeDocument/2006/relationships/hyperlink" Target="https://pubmed.ncbi.nlm.nih.gov/36933136/" TargetMode="External" Id="rId68" /><Relationship Type="http://schemas.openxmlformats.org/officeDocument/2006/relationships/hyperlink" Target="https://doi.org/10.1007/s10388-023-00993-2" TargetMode="External" Id="rId69" /><Relationship Type="http://schemas.openxmlformats.org/officeDocument/2006/relationships/hyperlink" Target="https://pubmed.ncbi.nlm.nih.gov/36933136/" TargetMode="External" Id="rId70" /><Relationship Type="http://schemas.openxmlformats.org/officeDocument/2006/relationships/hyperlink" Target="https://doi.org/10.1007/s10388-023-00993-2" TargetMode="External" Id="rId71" /><Relationship Type="http://schemas.openxmlformats.org/officeDocument/2006/relationships/hyperlink" Target="https://pubmed.ncbi.nlm.nih.gov/36933136/" TargetMode="External" Id="rId72" /><Relationship Type="http://schemas.openxmlformats.org/officeDocument/2006/relationships/hyperlink" Target="https://doi.org/10.1007/s10388-023-00993-2" TargetMode="External" Id="rId73" /><Relationship Type="http://schemas.openxmlformats.org/officeDocument/2006/relationships/hyperlink" Target="https://pubmed.ncbi.nlm.nih.gov/36933136/" TargetMode="External" Id="rId74" /><Relationship Type="http://schemas.openxmlformats.org/officeDocument/2006/relationships/hyperlink" Target="https://doi.org/10.1007/s10388-023-00993-2" TargetMode="External" Id="rId75" /><Relationship Type="http://schemas.openxmlformats.org/officeDocument/2006/relationships/hyperlink" Target="https://pubmed.ncbi.nlm.nih.gov/36933136/" TargetMode="External" Id="rId76" /><Relationship Type="http://schemas.openxmlformats.org/officeDocument/2006/relationships/hyperlink" Target="https://doi.org/10.1007/s10388-024-01054-y" TargetMode="External" Id="rId77" /><Relationship Type="http://schemas.openxmlformats.org/officeDocument/2006/relationships/hyperlink" Target="https://pubmed.ncbi.nlm.nih.gov/38568243/" TargetMode="External" Id="rId78" /><Relationship Type="http://schemas.openxmlformats.org/officeDocument/2006/relationships/hyperlink" Target="https://doi.org/10.1007/s10388-024-01054-y" TargetMode="External" Id="rId79" /><Relationship Type="http://schemas.openxmlformats.org/officeDocument/2006/relationships/hyperlink" Target="https://pubmed.ncbi.nlm.nih.gov/38568243/" TargetMode="External" Id="rId80" /><Relationship Type="http://schemas.openxmlformats.org/officeDocument/2006/relationships/hyperlink" Target="https://doi.org/10.1007/s10388-023-00993-2" TargetMode="External" Id="rId81" /><Relationship Type="http://schemas.openxmlformats.org/officeDocument/2006/relationships/hyperlink" Target="https://pubmed.ncbi.nlm.nih.gov/36933136/" TargetMode="External" Id="rId82" /><Relationship Type="http://schemas.openxmlformats.org/officeDocument/2006/relationships/hyperlink" Target="https://doi.org/10.1111/den.13654" TargetMode="External" Id="rId83" /><Relationship Type="http://schemas.openxmlformats.org/officeDocument/2006/relationships/hyperlink" Target="https://pubmed.ncbi.nlm.nih.gov/32072683/" TargetMode="External" Id="rId84" /><Relationship Type="http://schemas.openxmlformats.org/officeDocument/2006/relationships/hyperlink" Target="https://doi.org/10.1007/s10388-023-00993-2" TargetMode="External" Id="rId85" /><Relationship Type="http://schemas.openxmlformats.org/officeDocument/2006/relationships/hyperlink" Target="https://pubmed.ncbi.nlm.nih.gov/36933136/" TargetMode="External" Id="rId86" /><Relationship Type="http://schemas.openxmlformats.org/officeDocument/2006/relationships/hyperlink" Target="https://doi.org/10.1007/s10388-024-01054-y" TargetMode="External" Id="rId87" /><Relationship Type="http://schemas.openxmlformats.org/officeDocument/2006/relationships/hyperlink" Target="https://pubmed.ncbi.nlm.nih.gov/38568243/" TargetMode="External" Id="rId88" /><Relationship Type="http://schemas.openxmlformats.org/officeDocument/2006/relationships/hyperlink" Target="https://doi.org/10.1016/S0140-6736(24)00745-1" TargetMode="External" Id="rId89" /><Relationship Type="http://schemas.openxmlformats.org/officeDocument/2006/relationships/hyperlink" Target="https://pubmed.ncbi.nlm.nih.gov/38876133/" TargetMode="External" Id="rId90" /><Relationship Type="http://schemas.openxmlformats.org/officeDocument/2006/relationships/hyperlink" Target="https://doi.org/10.1016/S0140-6736(24)00745-1" TargetMode="External" Id="rId91" /><Relationship Type="http://schemas.openxmlformats.org/officeDocument/2006/relationships/hyperlink" Target="https://pubmed.ncbi.nlm.nih.gov/38876133/" TargetMode="External" Id="rId92" /><Relationship Type="http://schemas.openxmlformats.org/officeDocument/2006/relationships/hyperlink" Target="https://doi.org/10.1056/NEJMoa2032125" TargetMode="External" Id="rId93" /><Relationship Type="http://schemas.openxmlformats.org/officeDocument/2006/relationships/hyperlink" Target="https://pubmed.ncbi.nlm.nih.gov/33789008/" TargetMode="External" Id="rId94" /><Relationship Type="http://schemas.openxmlformats.org/officeDocument/2006/relationships/hyperlink" Target="https://doi.org/10.1056/NEJMoa2111380" TargetMode="External" Id="rId95" /><Relationship Type="http://schemas.openxmlformats.org/officeDocument/2006/relationships/hyperlink" Target="https://pubmed.ncbi.nlm.nih.gov/35108470/" TargetMode="External" Id="rId96" /><Relationship Type="http://schemas.openxmlformats.org/officeDocument/2006/relationships/hyperlink" Target="https://doi.org/10.1016/S0140-6736(21)01234-4" TargetMode="External" Id="rId97" /><Relationship Type="http://schemas.openxmlformats.org/officeDocument/2006/relationships/hyperlink" Target="https://pubmed.ncbi.nlm.nih.gov/34454674/" TargetMode="External" Id="rId98" /><Relationship Type="http://schemas.openxmlformats.org/officeDocument/2006/relationships/hyperlink" Target="https://doi.org/10.1016/j.esmoop.2025.105854" TargetMode="External" Id="rId99" /><Relationship Type="http://schemas.openxmlformats.org/officeDocument/2006/relationships/hyperlink" Target="https://pubmed.ncbi.nlm.nih.gov/41259897/" TargetMode="External" Id="rId100" /><Relationship Type="http://schemas.openxmlformats.org/officeDocument/2006/relationships/hyperlink" Target="https://doi.org/10.1007/s10388-023-00993-2" TargetMode="External" Id="rId101" /><Relationship Type="http://schemas.openxmlformats.org/officeDocument/2006/relationships/hyperlink" Target="https://pubmed.ncbi.nlm.nih.gov/36933136/" TargetMode="External" Id="rId102" /><Relationship Type="http://schemas.openxmlformats.org/officeDocument/2006/relationships/hyperlink" Target="https://doi.org/10.1007/s10388-023-00993-2" TargetMode="External" Id="rId103" /><Relationship Type="http://schemas.openxmlformats.org/officeDocument/2006/relationships/hyperlink" Target="https://pubmed.ncbi.nlm.nih.gov/36933136/" TargetMode="External" Id="rId104" /><Relationship Type="http://schemas.openxmlformats.org/officeDocument/2006/relationships/hyperlink" Target="https://doi.org/10.1097/HEP.0000000000000647" TargetMode="External" Id="rId105" /><Relationship Type="http://schemas.openxmlformats.org/officeDocument/2006/relationships/hyperlink" Target="https://pubmed.ncbi.nlm.nih.gov/37870298/" TargetMode="External" Id="rId106" /><Relationship Type="http://schemas.openxmlformats.org/officeDocument/2006/relationships/hyperlink" Target="https://doi.org/10.1097/HEP.0000000000000647" TargetMode="External" Id="rId107" /><Relationship Type="http://schemas.openxmlformats.org/officeDocument/2006/relationships/hyperlink" Target="https://pubmed.ncbi.nlm.nih.gov/37870298/" TargetMode="External" Id="rId108" /><Relationship Type="http://schemas.openxmlformats.org/officeDocument/2006/relationships/hyperlink" Target="https://doi.org/10.1097/HEP.0000000000000647" TargetMode="External" Id="rId109" /><Relationship Type="http://schemas.openxmlformats.org/officeDocument/2006/relationships/hyperlink" Target="https://pubmed.ncbi.nlm.nih.gov/37870298/" TargetMode="External" Id="rId110" /><Relationship Type="http://schemas.openxmlformats.org/officeDocument/2006/relationships/hyperlink" Target="https://doi.org/10.1097/HEP.0000000000000647" TargetMode="External" Id="rId111" /><Relationship Type="http://schemas.openxmlformats.org/officeDocument/2006/relationships/hyperlink" Target="https://pubmed.ncbi.nlm.nih.gov/37870298/" TargetMode="External" Id="rId112" /><Relationship Type="http://schemas.openxmlformats.org/officeDocument/2006/relationships/hyperlink" Target="https://doi.org/10.1016/j.jhep.2021.12.022" TargetMode="External" Id="rId113" /><Relationship Type="http://schemas.openxmlformats.org/officeDocument/2006/relationships/hyperlink" Target="https://pubmed.ncbi.nlm.nih.gov/35120736/" TargetMode="External" Id="rId114" /><Relationship Type="http://schemas.openxmlformats.org/officeDocument/2006/relationships/hyperlink" Target="https://doi.org/10.1056/NEJMoa1211801" TargetMode="External" Id="rId115" /><Relationship Type="http://schemas.openxmlformats.org/officeDocument/2006/relationships/hyperlink" Target="https://pubmed.ncbi.nlm.nih.gov/23281973/" TargetMode="External" Id="rId116" /><Relationship Type="http://schemas.openxmlformats.org/officeDocument/2006/relationships/hyperlink" Target="https://doi.org/10.1016/j.jhep.2021.12.022" TargetMode="External" Id="rId117" /><Relationship Type="http://schemas.openxmlformats.org/officeDocument/2006/relationships/hyperlink" Target="https://pubmed.ncbi.nlm.nih.gov/35120736/" TargetMode="External" Id="rId118" /><Relationship Type="http://schemas.openxmlformats.org/officeDocument/2006/relationships/hyperlink" Target="https://doi.org/10.1056/NEJMoa0910102" TargetMode="External" Id="rId119" /><Relationship Type="http://schemas.openxmlformats.org/officeDocument/2006/relationships/hyperlink" Target="https://pubmed.ncbi.nlm.nih.gov/20573925/" TargetMode="External" Id="rId120" /><Relationship Type="http://schemas.openxmlformats.org/officeDocument/2006/relationships/hyperlink" Target="https://doi.org/10.1007/s00535-021-01788-x" TargetMode="External" Id="rId121" /><Relationship Type="http://schemas.openxmlformats.org/officeDocument/2006/relationships/hyperlink" Target="https://pubmed.ncbi.nlm.nih.gov/34231046/" TargetMode="External" Id="rId122" /><Relationship Type="http://schemas.openxmlformats.org/officeDocument/2006/relationships/hyperlink" Target="https://doi.org/10.1055/s-0042-100456" TargetMode="External" Id="rId123" /><Relationship Type="http://schemas.openxmlformats.org/officeDocument/2006/relationships/hyperlink" Target="https://pubmed.ncbi.nlm.nih.gov/26862844/" TargetMode="External" Id="rId124" /><Relationship Type="http://schemas.openxmlformats.org/officeDocument/2006/relationships/hyperlink" Target="https://doi.org/10.1055/s-0042-100456" TargetMode="External" Id="rId125" /><Relationship Type="http://schemas.openxmlformats.org/officeDocument/2006/relationships/hyperlink" Target="https://pubmed.ncbi.nlm.nih.gov/26862844/" TargetMode="External" Id="rId126" /><Relationship Type="http://schemas.openxmlformats.org/officeDocument/2006/relationships/hyperlink" Target="https://doi.org/10.1055/s-0042-100456" TargetMode="External" Id="rId127" /><Relationship Type="http://schemas.openxmlformats.org/officeDocument/2006/relationships/hyperlink" Target="https://pubmed.ncbi.nlm.nih.gov/26862844/" TargetMode="External" Id="rId128" /><Relationship Type="http://schemas.openxmlformats.org/officeDocument/2006/relationships/hyperlink" Target="https://doi.org/10.1055/s-0042-100456" TargetMode="External" Id="rId129" /><Relationship Type="http://schemas.openxmlformats.org/officeDocument/2006/relationships/hyperlink" Target="https://pubmed.ncbi.nlm.nih.gov/26862844/" TargetMode="External" Id="rId130" /><Relationship Type="http://schemas.openxmlformats.org/officeDocument/2006/relationships/hyperlink" Target="https://doi.org/10.3748/wjg.v19.i25.3918" TargetMode="External" Id="rId131" /><Relationship Type="http://schemas.openxmlformats.org/officeDocument/2006/relationships/hyperlink" Target="https://pubmed.ncbi.nlm.nih.gov/23840136/" TargetMode="External" Id="rId132" /><Relationship Type="http://schemas.openxmlformats.org/officeDocument/2006/relationships/hyperlink" Target="https://doi.org/10.1186/1471-230X-8-31" TargetMode="External" Id="rId133" /><Relationship Type="http://schemas.openxmlformats.org/officeDocument/2006/relationships/hyperlink" Target="https://pubmed.ncbi.nlm.nih.gov/18655708/" TargetMode="External" Id="rId134" /><Relationship Type="http://schemas.openxmlformats.org/officeDocument/2006/relationships/hyperlink" Target="https://doi.org/10.3748/wjg.v19.i25.3918" TargetMode="External" Id="rId135" /><Relationship Type="http://schemas.openxmlformats.org/officeDocument/2006/relationships/hyperlink" Target="https://pubmed.ncbi.nlm.nih.gov/23840136/" TargetMode="External" Id="rId136" /><Relationship Type="http://schemas.openxmlformats.org/officeDocument/2006/relationships/hyperlink" Target="https://doi.org/10.1016/j.bpg.2007.12.007" TargetMode="External" Id="rId137" /><Relationship Type="http://schemas.openxmlformats.org/officeDocument/2006/relationships/hyperlink" Target="https://pubmed.ncbi.nlm.nih.gov/18656819/" TargetMode="External" Id="rId138" /><Relationship Type="http://schemas.openxmlformats.org/officeDocument/2006/relationships/hyperlink" Target="https://doi.org/10.22037/ghfbb.v15i3.2591" TargetMode="External" Id="rId139" /><Relationship Type="http://schemas.openxmlformats.org/officeDocument/2006/relationships/hyperlink" Target="https://pubmed.ncbi.nlm.nih.gov/36311965/" TargetMode="External" Id="rId140" /><Relationship Type="http://schemas.openxmlformats.org/officeDocument/2006/relationships/hyperlink" Target="https://doi.org/10.12998/wjcc.v10.i30.10896" TargetMode="External" Id="rId141" /><Relationship Type="http://schemas.openxmlformats.org/officeDocument/2006/relationships/hyperlink" Target="https://pubmed.ncbi.nlm.nih.gov/36338217/" TargetMode="External" Id="rId142" /><Relationship Type="http://schemas.openxmlformats.org/officeDocument/2006/relationships/hyperlink" Target="https://doi.org/10.1016/j.idcr.2020.e00925" TargetMode="External" Id="rId143" /><Relationship Type="http://schemas.openxmlformats.org/officeDocument/2006/relationships/hyperlink" Target="https://pubmed.ncbi.nlm.nih.gov/33005566/" TargetMode="External" Id="rId144" /><Relationship Type="http://schemas.openxmlformats.org/officeDocument/2006/relationships/hyperlink" Target="https://doi.org/10.1097/MD.0000000000015845" TargetMode="External" Id="rId145" /><Relationship Type="http://schemas.openxmlformats.org/officeDocument/2006/relationships/hyperlink" Target="https://pubmed.ncbi.nlm.nih.gov/31169688/" TargetMode="External" Id="rId146" /><Relationship Type="http://schemas.openxmlformats.org/officeDocument/2006/relationships/hyperlink" Target="https://doi.org/10.1097/MD.0000000000015845" TargetMode="External" Id="rId147" /><Relationship Type="http://schemas.openxmlformats.org/officeDocument/2006/relationships/hyperlink" Target="https://pubmed.ncbi.nlm.nih.gov/31169688/" TargetMode="External" Id="rId148" /><Relationship Type="http://schemas.openxmlformats.org/officeDocument/2006/relationships/hyperlink" Target="https://doi.org/10.1186/1750-1172-1-36" TargetMode="External" Id="rId149" /><Relationship Type="http://schemas.openxmlformats.org/officeDocument/2006/relationships/hyperlink" Target="https://pubmed.ncbi.nlm.nih.gov/16978405/" TargetMode="External" Id="rId150" /><Relationship Type="http://schemas.openxmlformats.org/officeDocument/2006/relationships/hyperlink" Target="https://doi.org/10.3390/diagnostics14192155" TargetMode="External" Id="rId151" /><Relationship Type="http://schemas.openxmlformats.org/officeDocument/2006/relationships/hyperlink" Target="https://pubmed.ncbi.nlm.nih.gov/39410559/" TargetMode="External" Id="rId152" /><Relationship Type="http://schemas.openxmlformats.org/officeDocument/2006/relationships/hyperlink" Target="https://doi.org/10.1097/MCG.0000000000001918" TargetMode="External" Id="rId153" /><Relationship Type="http://schemas.openxmlformats.org/officeDocument/2006/relationships/hyperlink" Target="https://pubmed.ncbi.nlm.nih.gov/37668412/" TargetMode="External" Id="rId154" /><Relationship Type="http://schemas.openxmlformats.org/officeDocument/2006/relationships/hyperlink" Target="https://doi.org/10.3390/diagnostics15192463" TargetMode="External" Id="rId155" /><Relationship Type="http://schemas.openxmlformats.org/officeDocument/2006/relationships/hyperlink" Target="https://pubmed.ncbi.nlm.nih.gov/41095682/" TargetMode="External" Id="rId156" /><Relationship Type="http://schemas.openxmlformats.org/officeDocument/2006/relationships/hyperlink" Target="https://doi.org/10.3390/diagnostics15192463" TargetMode="External" Id="rId157" /><Relationship Type="http://schemas.openxmlformats.org/officeDocument/2006/relationships/hyperlink" Target="https://pubmed.ncbi.nlm.nih.gov/41095682/" TargetMode="External" Id="rId158" /><Relationship Type="http://schemas.openxmlformats.org/officeDocument/2006/relationships/hyperlink" Target="https://doi.org/10.3390/diagnostics15192463" TargetMode="External" Id="rId159" /><Relationship Type="http://schemas.openxmlformats.org/officeDocument/2006/relationships/hyperlink" Target="https://pubmed.ncbi.nlm.nih.gov/41095682/" TargetMode="External" Id="rId160" /><Relationship Type="http://schemas.openxmlformats.org/officeDocument/2006/relationships/hyperlink" Target="https://doi.org/10.1136/gutjnl-2011-301817" TargetMode="External" Id="rId161" /><Relationship Type="http://schemas.openxmlformats.org/officeDocument/2006/relationships/hyperlink" Target="https://pubmed.ncbi.nlm.nih.gov/22619364/" TargetMode="External" Id="rId162" /><Relationship Type="http://schemas.openxmlformats.org/officeDocument/2006/relationships/hyperlink" Target="https://doi.org/10.1111/den.13654" TargetMode="External" Id="rId163" /><Relationship Type="http://schemas.openxmlformats.org/officeDocument/2006/relationships/hyperlink" Target="https://pubmed.ncbi.nlm.nih.gov/32072683/" TargetMode="External" Id="rId164" /><Relationship Type="http://schemas.openxmlformats.org/officeDocument/2006/relationships/hyperlink" Target="https://doi.org/10.1371/journal.pmed.1000050" TargetMode="External" Id="rId165" /><Relationship Type="http://schemas.openxmlformats.org/officeDocument/2006/relationships/hyperlink" Target="https://pubmed.ncbi.nlm.nih.gov/19320537/" TargetMode="External" Id="rId166" /></Relationships>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4" customWidth="1" min="1" max="1"/>
    <col width="100" customWidth="1" min="2" max="2"/>
  </cols>
  <sheetData>
    <row r="1">
      <c r="A1" s="1" t="inlineStr">
        <is>
          <t>専門医レビューシート</t>
        </is>
      </c>
      <c r="B1" s="2" t="inlineStr">
        <is>
          <t>領域 ES　出力日 2026-10-12　89件</t>
        </is>
      </c>
    </row>
    <row r="2">
      <c r="A2" s="2" t="inlineStr">
        <is>
          <t>確認者（氏名）</t>
        </is>
      </c>
      <c r="B2" s="3" t="inlineStr"/>
    </row>
    <row r="3">
      <c r="A3" s="2" t="inlineStr">
        <is>
          <t>確認日（YYYY-MM-DD）</t>
        </is>
      </c>
      <c r="B3" s="3" t="inlineStr"/>
    </row>
    <row r="4">
      <c r="A4" s="2" t="inlineStr"/>
      <c r="B4" s="2" t="inlineStr"/>
    </row>
    <row r="5">
      <c r="A5" s="2" t="inlineStr">
        <is>
          <t>記入方法</t>
        </is>
      </c>
      <c r="B5" s="2" t="inlineStr">
        <is>
          <t>シート「review」の黄色の列（判定・修正案・コメント）に記入してください。</t>
        </is>
      </c>
    </row>
    <row r="6">
      <c r="A6" s="2" t="inlineStr">
        <is>
          <t>判定 = OK</t>
        </is>
      </c>
      <c r="B6" s="2" t="inlineStr">
        <is>
          <t>内容を確認済み。取り込み時に verified_expert に昇格し、確認者・確認日を記録します。</t>
        </is>
      </c>
    </row>
    <row r="7">
      <c r="A7" s="2" t="inlineStr">
        <is>
          <t>判定 = 修正</t>
        </is>
      </c>
      <c r="B7" s="2" t="inlineStr">
        <is>
          <t>「修正案」に正しい内容を書いてください。本文は自動では書き換えず、proposals/ に修正案として出します。</t>
        </is>
      </c>
    </row>
    <row r="8">
      <c r="A8" s="2" t="inlineStr">
        <is>
          <t>判定 = 削除</t>
        </is>
      </c>
      <c r="B8" s="2" t="inlineStr">
        <is>
          <t>廃止の提案として proposals/ に出します（カードは削除せず、承認後に retired にします）。</t>
        </is>
      </c>
    </row>
    <row r="9">
      <c r="A9" s="2" t="inlineStr">
        <is>
          <t>空欄</t>
        </is>
      </c>
      <c r="B9" s="2" t="inlineStr">
        <is>
          <t>未確認として扱い、何も変更しません。</t>
        </is>
      </c>
    </row>
    <row r="10">
      <c r="A10" s="2" t="inlineStr">
        <is>
          <t>注意</t>
        </is>
      </c>
      <c r="B10" s="2" t="inlineStr">
        <is>
          <t>「Claude Codeによる修正」列に記載があるカードは、Claude Code が一次資料をもとに主張文や出典を変更・作成したものです。特に確認をお願いします。</t>
        </is>
      </c>
    </row>
    <row r="11">
      <c r="A11" s="2" t="inlineStr">
        <is>
          <t>注意</t>
        </is>
      </c>
      <c r="B11" s="2" t="inlineStr">
        <is>
          <t>status が draft のカードは、出典との照合が未了です（理由は uncertainty 列）。</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9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14" customWidth="1" min="2" max="2"/>
    <col width="60" customWidth="1" min="3" max="3"/>
    <col width="26" customWidth="1" min="4" max="4"/>
    <col width="34" customWidth="1" min="5" max="5"/>
    <col width="40" customWidth="1" min="6" max="6"/>
    <col width="22" customWidth="1" min="7" max="7"/>
    <col width="11" customWidth="1" min="8" max="8"/>
    <col width="12" customWidth="1" min="9" max="9"/>
    <col width="30" customWidth="1" min="10" max="10"/>
    <col width="26" customWidth="1" min="11" max="11"/>
    <col width="26" customWidth="1" min="12" max="12"/>
    <col width="40" customWidth="1" min="13" max="13"/>
    <col width="8" customWidth="1" min="14" max="14"/>
    <col width="40" customWidth="1" min="15" max="15"/>
    <col width="30" customWidth="1" min="16" max="16"/>
  </cols>
  <sheetData>
    <row r="1">
      <c r="A1" s="4" t="inlineStr">
        <is>
          <t>ID</t>
        </is>
      </c>
      <c r="B1" s="4" t="inlineStr">
        <is>
          <t>status</t>
        </is>
      </c>
      <c r="C1" s="4" t="inlineStr">
        <is>
          <t>主張文</t>
        </is>
      </c>
      <c r="D1" s="4" t="inlineStr">
        <is>
          <t>条件</t>
        </is>
      </c>
      <c r="E1" s="4" t="inlineStr">
        <is>
          <t>鑑別・よくある誤解</t>
        </is>
      </c>
      <c r="F1" s="4" t="inlineStr">
        <is>
          <t>出典</t>
        </is>
      </c>
      <c r="G1" s="4" t="inlineStr">
        <is>
          <t>DOI</t>
        </is>
      </c>
      <c r="H1" s="4" t="inlineStr">
        <is>
          <t>PMID</t>
        </is>
      </c>
      <c r="I1" s="4" t="inlineStr">
        <is>
          <t>source_class</t>
        </is>
      </c>
      <c r="J1" s="4" t="inlineStr">
        <is>
          <t>uncertainty</t>
        </is>
      </c>
      <c r="K1" s="4" t="inlineStr">
        <is>
          <t>コアカリ</t>
        </is>
      </c>
      <c r="L1" s="4" t="inlineStr">
        <is>
          <t>出題基準</t>
        </is>
      </c>
      <c r="M1" s="4" t="inlineStr">
        <is>
          <t>Claude Codeによる修正</t>
        </is>
      </c>
      <c r="N1" s="5" t="inlineStr">
        <is>
          <t>判定</t>
        </is>
      </c>
      <c r="O1" s="5" t="inlineStr">
        <is>
          <t>修正案</t>
        </is>
      </c>
      <c r="P1" s="5" t="inlineStr">
        <is>
          <t>コメント</t>
        </is>
      </c>
    </row>
    <row r="2">
      <c r="A2" s="2" t="inlineStr">
        <is>
          <t>ES-001</t>
        </is>
      </c>
      <c r="B2" s="2" t="inlineStr">
        <is>
          <t>verified_sources</t>
        </is>
      </c>
      <c r="C2" s="2" t="inlineStr">
        <is>
          <t>日本消化器病学会のGERD診療ガイドライン第3版（日本語版）は2021年4月に刊行され、GERDを逆流性食道炎（RE）と非びらん性逆流症（NERD）に分けた治療アルゴリズムを導入した。</t>
        </is>
      </c>
      <c r="D2" s="2" t="inlineStr">
        <is>
          <t>region: 日本；guideline: JSGE GERD 2021</t>
        </is>
      </c>
      <c r="E2" s="2" t="inlineStr">
        <is>
          <t>鑑別：第2版（2015）ではP-CABの位置づけがなかった
誤解：GERD＝内視鏡でびらんがある病態、と考える（NERDも含む）</t>
        </is>
      </c>
      <c r="F2" s="2" t="inlineStr">
        <is>
          <t>Iwakiri K, et al. JSGE GERD guidelines 2021. J Gastroenterol 2022;57:267-285</t>
        </is>
      </c>
      <c r="G2" s="6" t="inlineStr">
        <is>
          <t>10.1007/s00535-022-01861-z</t>
        </is>
      </c>
      <c r="H2" s="6" t="inlineStr">
        <is>
          <t>35226174</t>
        </is>
      </c>
      <c r="I2" s="2" t="inlineStr">
        <is>
          <t>OPEN</t>
        </is>
      </c>
      <c r="J2" s="2" t="inlineStr">
        <is>
          <t>low</t>
        </is>
      </c>
      <c r="K2" s="2" t="inlineStr">
        <is>
          <t>PS-02-08-05 (id: JkxnuRY)</t>
        </is>
      </c>
      <c r="L2" s="2" t="inlineStr">
        <is>
          <t>医学各論 Ⅵ-1-B-①（胃食道逆流症&lt;GERD&gt;、非びらん性胃食道逆流症&lt;NERD&gt;、a）</t>
        </is>
      </c>
      <c r="M2" s="2" t="inlineStr">
        <is>
          <t>[2026-10-12] status draft → verified_sources（識別子・ライセンスを API で照合済み、主張文の数値・推奨を一次資料と照合：JSGE GERD GL 2021 英語版本文（PMC8938399、CC BY）。人間が2026-10-12にチャットで委任）</t>
        </is>
      </c>
      <c r="N2" s="3" t="inlineStr"/>
      <c r="O2" s="3" t="inlineStr"/>
      <c r="P2" s="3" t="inlineStr"/>
    </row>
    <row r="3">
      <c r="A3" s="2" t="inlineStr">
        <is>
          <t>ES-002</t>
        </is>
      </c>
      <c r="B3" s="2" t="inlineStr">
        <is>
          <t>verified_sources</t>
        </is>
      </c>
      <c r="C3" s="2" t="inlineStr">
        <is>
          <t>日本では、P-CABのボノプラザンが2015年2月に初めて逆流性食道炎の治療薬として使えるようになった。</t>
        </is>
      </c>
      <c r="D3" s="2" t="inlineStr">
        <is>
          <t>region: 日本</t>
        </is>
      </c>
      <c r="E3" s="2" t="inlineStr">
        <is>
          <t>鑑別：PPIは酸で活性化されてから不可逆的に阻害する。P-CABはK+と競合して可逆的に阻害する
誤解：ボノプラザンをPPIの一種とする</t>
        </is>
      </c>
      <c r="F3" s="2" t="inlineStr">
        <is>
          <t>Iwakiri K, et al. JSGE GERD guidelines 2021. J Gastroenterol 2022;57:267-285</t>
        </is>
      </c>
      <c r="G3" s="6" t="inlineStr">
        <is>
          <t>10.1007/s00535-022-01861-z</t>
        </is>
      </c>
      <c r="H3" s="6" t="inlineStr">
        <is>
          <t>35226174</t>
        </is>
      </c>
      <c r="I3" s="2" t="inlineStr">
        <is>
          <t>OPEN</t>
        </is>
      </c>
      <c r="J3" s="2" t="inlineStr">
        <is>
          <t>low</t>
        </is>
      </c>
      <c r="K3" s="2" t="inlineStr">
        <is>
          <t>PS-02-08-05 (id: JkxnuRY)</t>
        </is>
      </c>
      <c r="L3" s="2" t="inlineStr">
        <is>
          <t>医学各論 Ⅵ-1-B-①（胃食道逆流症&lt;GERD&gt;、非びらん性胃食道逆流症&lt;NERD&gt;、a）</t>
        </is>
      </c>
      <c r="M3" s="2" t="inlineStr">
        <is>
          <t>[2026-10-12] status draft → verified_sources（識別子・ライセンスを API で照合済み、主張文の数値・推奨を一次資料と照合：JSGE GERD GL 2021 英語版本文（PMC8938399、CC BY）。人間が2026-10-12にチャットで委任）</t>
        </is>
      </c>
      <c r="N3" s="3" t="inlineStr"/>
      <c r="O3" s="3" t="inlineStr"/>
      <c r="P3" s="3" t="inlineStr"/>
    </row>
    <row r="4">
      <c r="A4" s="2" t="inlineStr">
        <is>
          <t>ES-003</t>
        </is>
      </c>
      <c r="B4" s="2" t="inlineStr">
        <is>
          <t>verified_sources</t>
        </is>
      </c>
      <c r="C4" s="2" t="inlineStr">
        <is>
          <t>日本のGERDガイドライン2021は、重症逆流性食道炎（LA分類C・D）の初期治療と維持治療にボノプラザンを提案している。</t>
        </is>
      </c>
      <c r="D4" s="2" t="inlineStr">
        <is>
          <t>region: 日本；population: LA C/D</t>
        </is>
      </c>
      <c r="E4" s="2" t="inlineStr">
        <is>
          <t>鑑別：軽症RE（LA分類A・B）の初期治療はPPIまたはボノプラザン（ES-004）
誤解：重症でも維持療法は不要と考える</t>
        </is>
      </c>
      <c r="F4" s="2" t="inlineStr">
        <is>
          <t>Iwakiri K, et al. JSGE GERD guidelines 2021. J Gastroenterol 2022;57:267-285</t>
        </is>
      </c>
      <c r="G4" s="6" t="inlineStr">
        <is>
          <t>10.1007/s00535-022-01861-z</t>
        </is>
      </c>
      <c r="H4" s="6" t="inlineStr">
        <is>
          <t>35226174</t>
        </is>
      </c>
      <c r="I4" s="2" t="inlineStr">
        <is>
          <t>OPEN</t>
        </is>
      </c>
      <c r="J4" s="2" t="inlineStr">
        <is>
          <t>low（推奨の方向と用量をGL本文で照合）</t>
        </is>
      </c>
      <c r="K4" s="2" t="inlineStr">
        <is>
          <t>PS-02-08-05 (id: JkxnuRY)；TBL-02-07-030 (id: JlAKplE)</t>
        </is>
      </c>
      <c r="L4" s="2" t="inlineStr">
        <is>
          <t>医学各論 Ⅵ-1-B-②（逆流性食道炎（備考：Barrett上皮、Barrett食道）、a）</t>
        </is>
      </c>
      <c r="M4" s="2" t="inlineStr">
        <is>
          <t>[2026-10-12] 内容照合による修正（人間が2026-10-12にチャットで委任）：用量をGL本文で確認。変更項目：provenance.corroboration, uncertainty。根拠：JSGE GERD GL 2021 英語版本文（PMC8938399、CC BY）
[2026-10-12] 内容照合による修正（人間が2026-10-12にチャットで委任）：根拠のない欧米との比較（要確認）を、同じGLで確認できる軽症REとの対比に差し替え。変更項目：assertion.differential。根拠：JSGE GERD GL 2021 英語版本文（PMC8938399、CC BY）
[2026-10-12] status draft → verified_sources（識別子・ライセンスを API で照合済み、主張文の数値・推奨を一次資料と照合：JSGE GERD GL 2021 英語版本文（PMC8938399、CC BY）。人間が2026-10-12にチャットで委任）</t>
        </is>
      </c>
      <c r="N4" s="3" t="inlineStr"/>
      <c r="O4" s="3" t="inlineStr"/>
      <c r="P4" s="3" t="inlineStr"/>
    </row>
    <row r="5">
      <c r="A5" s="2" t="inlineStr">
        <is>
          <t>ES-004</t>
        </is>
      </c>
      <c r="B5" s="2" t="inlineStr">
        <is>
          <t>verified_sources</t>
        </is>
      </c>
      <c r="C5" s="2" t="inlineStr">
        <is>
          <t>軽症逆流性食道炎（LA分類A・B）では、初期治療にボノプラザンまたはPPIを推奨している。維持治療はPPIを推奨し、ボノプラザンを提案としている。</t>
        </is>
      </c>
      <c r="D5" s="2" t="inlineStr">
        <is>
          <t>region: 日本；population: LA A/B</t>
        </is>
      </c>
      <c r="E5" s="2" t="inlineStr">
        <is>
          <t>鑑別：「推奨」と「提案」では推奨の強さが異なる
誤解：軽症でもボノプラザンによる維持が第一推奨と考える</t>
        </is>
      </c>
      <c r="F5" s="2" t="inlineStr">
        <is>
          <t>Iwakiri K, et al. JSGE GERD guidelines 2021. J Gastroenterol 2022;57:267-285</t>
        </is>
      </c>
      <c r="G5" s="6" t="inlineStr">
        <is>
          <t>10.1007/s00535-022-01861-z</t>
        </is>
      </c>
      <c r="H5" s="6" t="inlineStr">
        <is>
          <t>35226174</t>
        </is>
      </c>
      <c r="I5" s="2" t="inlineStr">
        <is>
          <t>OPEN</t>
        </is>
      </c>
      <c r="J5" s="2" t="inlineStr">
        <is>
          <t>low</t>
        </is>
      </c>
      <c r="K5" s="2" t="inlineStr">
        <is>
          <t>PS-02-08-05 (id: JkxnuRY)；TBL-02-07-030 (id: JlAKplE)</t>
        </is>
      </c>
      <c r="L5" s="2" t="inlineStr">
        <is>
          <t>医学各論 Ⅵ-1-B-②（逆流性食道炎（備考：Barrett上皮、Barrett食道）、a）</t>
        </is>
      </c>
      <c r="M5" s="2" t="inlineStr">
        <is>
          <t>[2026-10-12] status draft → verified_sources（識別子・ライセンスを API で照合済み、主張文の数値・推奨を一次資料と照合：JSGE GERD GL 2021 英語版本文（PMC8938399、CC BY）。人間が2026-10-12にチャットで委任）</t>
        </is>
      </c>
      <c r="N5" s="3" t="inlineStr"/>
      <c r="O5" s="3" t="inlineStr"/>
      <c r="P5" s="3" t="inlineStr"/>
    </row>
    <row r="6">
      <c r="A6" s="2" t="inlineStr">
        <is>
          <t>ES-005</t>
        </is>
      </c>
      <c r="B6" s="2" t="inlineStr">
        <is>
          <t>draft</t>
        </is>
      </c>
      <c r="C6" s="2" t="inlineStr">
        <is>
          <t>ロサンゼルス（LA）分類は、粘膜傷害の長さと広がりで重症度を分ける。粘膜ひだの間で連続しない5 mm以下の傷害をA、5 mm超をB、2条以上のひだにまたがり全周の75%未満のものをC、75%以上をDとする。</t>
        </is>
      </c>
      <c r="D6" s="2" t="inlineStr">
        <is>
          <t>region: 国際</t>
        </is>
      </c>
      <c r="E6" s="2" t="inlineStr">
        <is>
          <t>鑑別：日本で使われる改訂LA分類（星原）には、grade NとMがある
誤解：CとDの境界を50%とする</t>
        </is>
      </c>
      <c r="F6" s="2" t="inlineStr">
        <is>
          <t>Lundell LR, et al. Gut 1999</t>
        </is>
      </c>
      <c r="G6" s="6" t="inlineStr">
        <is>
          <t>10.1136/gut.45.2.172</t>
        </is>
      </c>
      <c r="H6" s="6" t="inlineStr">
        <is>
          <t>10403727</t>
        </is>
      </c>
      <c r="I6" s="2" t="inlineStr">
        <is>
          <t>RESTRICTED</t>
        </is>
      </c>
      <c r="J6" s="2" t="inlineStr">
        <is>
          <t>medium（グレードの定義はPMCでは抄録しか読めず、本文で未照合）</t>
        </is>
      </c>
      <c r="K6" s="2" t="inlineStr">
        <is>
          <t>PS-02-08-05 (id: JkxnuRY)；TBL-02-07-030 (id: JlAKplE)</t>
        </is>
      </c>
      <c r="L6" s="2" t="inlineStr">
        <is>
          <t>医学各論 Ⅵ-1-B-②（逆流性食道炎（備考：Barrett上皮、Barrett食道）、a）</t>
        </is>
      </c>
      <c r="M6" s="2" t="inlineStr">
        <is>
          <t>[2026-10-12] 内容照合による修正（人間が2026-10-12にチャットで委任）：PubMed で書誌を特定し識別子を設定。変更項目：provenance.doi, provenance.pmid, provenance.pmcid, uncertainty。根拠：PubMed・Crossref の書誌</t>
        </is>
      </c>
      <c r="N6" s="3" t="inlineStr"/>
      <c r="O6" s="3" t="inlineStr"/>
      <c r="P6" s="3" t="inlineStr"/>
    </row>
    <row r="7">
      <c r="A7" s="2" t="inlineStr">
        <is>
          <t>ES-006</t>
        </is>
      </c>
      <c r="B7" s="2" t="inlineStr">
        <is>
          <t>verified_sources</t>
        </is>
      </c>
      <c r="C7" s="2" t="inlineStr">
        <is>
          <t>日本では、重症逆流性食道炎の基準としてLA分類のC・Dを用いる。</t>
        </is>
      </c>
      <c r="D7" s="2" t="inlineStr">
        <is>
          <t>region: 日本</t>
        </is>
      </c>
      <c r="E7" s="2" t="inlineStr">
        <is>
          <t>鑑別：改訂LA分類のgrade Mは色調変化のみ
誤解：grade Bを重症に含める</t>
        </is>
      </c>
      <c r="F7" s="2" t="inlineStr">
        <is>
          <t>Iwakiri K, et al. JSGE GERD guidelines 2021. J Gastroenterol 2022;57:267-285</t>
        </is>
      </c>
      <c r="G7" s="6" t="inlineStr">
        <is>
          <t>10.1007/s00535-022-01861-z</t>
        </is>
      </c>
      <c r="H7" s="6" t="inlineStr">
        <is>
          <t>35226174</t>
        </is>
      </c>
      <c r="I7" s="2" t="inlineStr">
        <is>
          <t>OPEN</t>
        </is>
      </c>
      <c r="J7" s="2" t="inlineStr">
        <is>
          <t>low</t>
        </is>
      </c>
      <c r="K7" s="2" t="inlineStr">
        <is>
          <t>PS-02-08-05 (id: JkxnuRY)；TBL-02-07-030 (id: JlAKplE)</t>
        </is>
      </c>
      <c r="L7" s="2" t="inlineStr">
        <is>
          <t>医学各論 Ⅵ-1-B-②（逆流性食道炎（備考：Barrett上皮、Barrett食道）、a）</t>
        </is>
      </c>
      <c r="M7" s="2" t="inlineStr">
        <is>
          <t>[2026-10-12] status draft → verified_sources（識別子・ライセンスを API で照合済み、主張文の数値・推奨を一次資料と照合：JSGE GERD GL 2021 英語版本文（PMC8938399、CC BY）。人間が2026-10-12にチャットで委任）</t>
        </is>
      </c>
      <c r="N7" s="3" t="inlineStr"/>
      <c r="O7" s="3" t="inlineStr"/>
      <c r="P7" s="3" t="inlineStr"/>
    </row>
    <row r="8">
      <c r="A8" s="2" t="inlineStr">
        <is>
          <t>ES-007</t>
        </is>
      </c>
      <c r="B8" s="2" t="inlineStr">
        <is>
          <t>verified_sources</t>
        </is>
      </c>
      <c r="C8" s="2" t="inlineStr">
        <is>
          <t>日本の成人における逆流性食道炎の有病率は約10%と推定されている。</t>
        </is>
      </c>
      <c r="D8" s="2" t="inlineStr">
        <is>
          <t>region: 日本；population: 成人</t>
        </is>
      </c>
      <c r="E8" s="2" t="inlineStr">
        <is>
          <t>鑑別：GERD症状の有病率と、内視鏡で見るREの有病率は別の指標
誤解：H. pylori感染率の低下とは無関係と考える</t>
        </is>
      </c>
      <c r="F8" s="2" t="inlineStr">
        <is>
          <t>Iwakiri K, et al. JSGE GERD guidelines 2021. J Gastroenterol 2022;57:267-285</t>
        </is>
      </c>
      <c r="G8" s="6" t="inlineStr">
        <is>
          <t>10.1007/s00535-022-01861-z</t>
        </is>
      </c>
      <c r="H8" s="6" t="inlineStr">
        <is>
          <t>35226174</t>
        </is>
      </c>
      <c r="I8" s="2" t="inlineStr">
        <is>
          <t>OPEN</t>
        </is>
      </c>
      <c r="J8" s="2" t="inlineStr">
        <is>
          <t>low（JSGE GERD GL 2021 の疫学の記載で照合。原典はGLの引用文献）</t>
        </is>
      </c>
      <c r="K8" s="2" t="inlineStr">
        <is>
          <t>PS-02-08-05 (id: JkxnuRY)；TBL-02-07-030 (id: JlAKplE)</t>
        </is>
      </c>
      <c r="L8" s="2" t="inlineStr">
        <is>
          <t>医学各論 Ⅵ-1-B-②（逆流性食道炎（備考：Barrett上皮、Barrett食道）、a）</t>
        </is>
      </c>
      <c r="M8" s="2" t="inlineStr">
        <is>
          <t>[2026-10-12] 内容照合による修正（人間が2026-10-12にチャットで委任）：GL本文に同じ推定値の記載があることを確認したため、主張文の括弧書き「（引用元の原典と数値は要確認）」を削除。変更項目：assertion.plain_statement_ja, uncertainty。根拠：JSGE GERD GL 2021 英語版本文（PMC8938399、CC BY）
[2026-10-12] status draft → verified_sources（識別子・ライセンスを API で照合済み、主張文の数値・推奨を一次資料と照合：JSGE GERD GL 2021 英語版本文（PMC8938399、CC BY）。人間が2026-10-12にチャットで委任）</t>
        </is>
      </c>
      <c r="N8" s="3" t="inlineStr"/>
      <c r="O8" s="3" t="inlineStr"/>
      <c r="P8" s="3" t="inlineStr"/>
    </row>
    <row r="9">
      <c r="A9" s="2" t="inlineStr">
        <is>
          <t>ES-008</t>
        </is>
      </c>
      <c r="B9" s="2" t="inlineStr">
        <is>
          <t>verified_sources</t>
        </is>
      </c>
      <c r="C9" s="2" t="inlineStr">
        <is>
          <t>24時間pH・インピーダンス検査は酸逆流と非酸逆流の両方を検出できる。内視鏡で所見のないNERDやPPI抵抗性の症例で、逆流と症状の関連を評価する手段になる。</t>
        </is>
      </c>
      <c r="D9" s="2" t="inlineStr">
        <is>
          <t>region: 国際</t>
        </is>
      </c>
      <c r="E9" s="2" t="inlineStr">
        <is>
          <t>鑑別：機能性胸やけ、逆流過敏性食道
誤解：pH検査だけで非酸逆流も評価できると考える</t>
        </is>
      </c>
      <c r="F9" s="2" t="inlineStr">
        <is>
          <t>Iwakiri K, et al. Evidence-based clinical practice guidelines for gastroesophageal reflux disease 2021. J Gastroenterol 2022;57:267-285</t>
        </is>
      </c>
      <c r="G9" s="6" t="inlineStr">
        <is>
          <t>10.1007/s00535-022-01861-z</t>
        </is>
      </c>
      <c r="H9" s="6" t="inlineStr">
        <is>
          <t>35226174</t>
        </is>
      </c>
      <c r="I9" s="2" t="inlineStr">
        <is>
          <t>OPEN</t>
        </is>
      </c>
      <c r="J9" s="2" t="inlineStr">
        <is>
          <t>low（GL本文で照合）</t>
        </is>
      </c>
      <c r="K9" s="2" t="inlineStr">
        <is>
          <t>PS-02-08-05 (id: JkxnuRY)；TBL-02-07-025 (id: JlAKpkw)</t>
        </is>
      </c>
      <c r="L9" s="2" t="inlineStr">
        <is>
          <t>医学各論 Ⅵ-1-B-①（胃食道逆流症&lt;GERD&gt;、非びらん性胃食道逆流症&lt;NERD&gt;、a）</t>
        </is>
      </c>
      <c r="M9" s="2" t="inlineStr">
        <is>
          <t>[2026-10-12] 内容照合による修正（人間が2026-10-12にチャットで委任）：出典未取得だったカードに JSGE GERD GL 2021 を出典として設定。変更項目：provenance.source, provenance.doi, provenance.pmid, provenance.pmcid, provenance.url, provenance.source_license, provenance.source_class, provenance.corroboration, uncertainty。根拠：JSGE GERD GL 2021 英語版本文（PMC8938399、CC BY）
[2026-10-12] status draft → verified_sources（識別子・ライセンスを API で照合済み、主張文の数値・推奨を一次資料と照合：JSGE GERD GL 2021 英語版本文（PMC8938399、CC BY）。人間が2026-10-12にチャットで委任）</t>
        </is>
      </c>
      <c r="N9" s="3" t="inlineStr"/>
      <c r="O9" s="3" t="inlineStr"/>
      <c r="P9" s="3" t="inlineStr"/>
    </row>
    <row r="10">
      <c r="A10" s="2" t="inlineStr">
        <is>
          <t>ES-009</t>
        </is>
      </c>
      <c r="B10" s="2" t="inlineStr">
        <is>
          <t>draft</t>
        </is>
      </c>
      <c r="C10" s="2" t="inlineStr">
        <is>
          <t>Lyon consensus 2.0では、酸分泌抑制薬を中止して行う逆流モニタリングで、酸曝露時間（AET）が6%を超えればGERDの確定的根拠、4%未満なら生理的範囲、4〜6%は判定保留とする。内視鏡ではLA分類B以上の逆流性食道炎も確定的根拠とされた。</t>
        </is>
      </c>
      <c r="D10" s="2" t="inlineStr">
        <is>
          <t>24時間pH（・インピーダンス）検査、または延長ワイヤレスpH検査（2日以上で基準を満たす）</t>
        </is>
      </c>
      <c r="E10" s="2" t="inlineStr">
        <is>
          <t>鑑別：逆流過敏性食道、機能性胸やけ
誤解：LA分類Aは単独ではGERDの確定根拠にならない</t>
        </is>
      </c>
      <c r="F10" s="2" t="inlineStr">
        <is>
          <t>Gyawali CP, et al. Updates to the modern diagnosis of GERD: Lyon consensus 2.0. Gut 2024;73(2):361-371</t>
        </is>
      </c>
      <c r="G10" s="6" t="inlineStr">
        <is>
          <t>10.1136/gutjnl-2023-330616</t>
        </is>
      </c>
      <c r="H10" s="6" t="inlineStr">
        <is>
          <t>37734911</t>
        </is>
      </c>
      <c r="I10" s="2" t="inlineStr">
        <is>
          <t>RESTRICTED</t>
        </is>
      </c>
      <c r="J10" s="2" t="inlineStr">
        <is>
          <t>アジアでAET 4%超を確定閾値とする提案は、Wong &amp; Chen, Gut Liver 2025（PMID 40905050）およびAliment Pharmacol Ther誌のレター（DOI 10.1111/apt.70755）による。Lyon 2.0本体のPMIDは未取得</t>
        </is>
      </c>
      <c r="K10" s="2" t="inlineStr">
        <is>
          <t>PS-02-08-05 (id: JkxnuRY)；TBL-02-07-030 (id: JlAKplE)</t>
        </is>
      </c>
      <c r="L10" s="2" t="inlineStr">
        <is>
          <t>医学各論 Ⅵ-1-B-①（胃食道逆流症&lt;GERD&gt;、非びらん性胃食道逆流症&lt;NERD&gt;、a）</t>
        </is>
      </c>
      <c r="M10" s="2" t="inlineStr">
        <is>
          <t>[2026-10-12] 統合：本文を v2 の ES-R12（raw/01b_esophagus_v2.md）で全文置換。ID は v1 の ES-009 を引き継ぐ。置換前の v1 本文は git 履歴の data/facts/_staging_ES_v1.yaml にある（proposals/es_merge_map.csv、claude-code（人間が2026-10-12にチャットで委任））</t>
        </is>
      </c>
      <c r="N10" s="3" t="inlineStr"/>
      <c r="O10" s="3" t="inlineStr"/>
      <c r="P10" s="3" t="inlineStr"/>
    </row>
    <row r="11">
      <c r="A11" s="2" t="inlineStr">
        <is>
          <t>ES-010</t>
        </is>
      </c>
      <c r="B11" s="2" t="inlineStr">
        <is>
          <t>verified_sources</t>
        </is>
      </c>
      <c r="C11" s="2" t="inlineStr">
        <is>
          <t>PPIテスト（PPIを試験的に投与し、症状が改善するかで判断する方法）は低侵襲・低コストで実地診療に用いられるが、24時間pH検査を基準とした統合解析では感度0.78、特異度0.54と診断精度に限界がある。</t>
        </is>
      </c>
      <c r="D11" s="2" t="inlineStr">
        <is>
          <t>region: 国際</t>
        </is>
      </c>
      <c r="E11" s="2" t="inlineStr">
        <is>
          <t>鑑別：P-CABテスト（JSGE 2021はPPIテストより有用な可能性があるとしている）
誤解：PPIテスト陽性＝GERD確定と考える</t>
        </is>
      </c>
      <c r="F11" s="2" t="inlineStr">
        <is>
          <t>Iwakiri K, et al. JSGE GERD guidelines 2021. J Gastroenterol 2022;57:267-285</t>
        </is>
      </c>
      <c r="G11" s="6" t="inlineStr">
        <is>
          <t>10.1007/s00535-022-01861-z</t>
        </is>
      </c>
      <c r="H11" s="6" t="inlineStr">
        <is>
          <t>35226174</t>
        </is>
      </c>
      <c r="I11" s="2" t="inlineStr">
        <is>
          <t>OPEN</t>
        </is>
      </c>
      <c r="J11" s="2" t="inlineStr">
        <is>
          <t>low（GL本文で照合）</t>
        </is>
      </c>
      <c r="K11" s="2" t="inlineStr">
        <is>
          <t>PS-02-08-05 (id: JkxnuRY)</t>
        </is>
      </c>
      <c r="L11" s="2" t="inlineStr">
        <is>
          <t>医学各論 Ⅵ-1-B-①（胃食道逆流症&lt;GERD&gt;、非びらん性胃食道逆流症&lt;NERD&gt;、a）</t>
        </is>
      </c>
      <c r="M11" s="2" t="inlineStr">
        <is>
          <t>[2026-10-12] 内容照合による修正（人間が2026-10-12にチャットで委任）：GL本文に「陰性でも否定できない」旨の記載は確認できず、代わりに感度・特異度の数値を確認したため主張文を差し替え。P-CABテストの位置づけ（FRQ）も確認。変更項目：assertion.plain_statement_ja, assertion.differential, uncertainty。根拠：JSGE GERD GL 2021 英語版本文（PMC8938399、CC BY）
[2026-10-12] status draft → verified_sources（識別子・ライセンスを API で照合済み、主張文の数値・推奨を一次資料と照合：JSGE GERD GL 2021 英語版本文（PMC8938399、CC BY）。人間が2026-10-12にチャットで委任）</t>
        </is>
      </c>
      <c r="N11" s="3" t="inlineStr"/>
      <c r="O11" s="3" t="inlineStr"/>
      <c r="P11" s="3" t="inlineStr"/>
    </row>
    <row r="12">
      <c r="A12" s="2" t="inlineStr">
        <is>
          <t>ES-011</t>
        </is>
      </c>
      <c r="B12" s="2" t="inlineStr">
        <is>
          <t>verified_sources</t>
        </is>
      </c>
      <c r="C12" s="2" t="inlineStr">
        <is>
          <t>JSGE 2021は、薬物治療に抵抗するGERDで逆流と症状の関連が確認できた場合に、逆流防止手術を選択肢としている。PPI抵抗性NERDでは、多チャンネルインピーダンス・pHモニタリングで症状と逆流の因果関係が示された場合に手術を提案している（弱い推奨）。</t>
        </is>
      </c>
      <c r="D12" s="2" t="inlineStr">
        <is>
          <t>region: 日本</t>
        </is>
      </c>
      <c r="E12" s="2" t="inlineStr">
        <is>
          <t>鑑別：内視鏡的逆流防止術（ARMS）の保険収載は ES-093
誤解：裂孔ヘルニアがあれば全例手術と考える</t>
        </is>
      </c>
      <c r="F12" s="2" t="inlineStr">
        <is>
          <t>Iwakiri K, et al. JSGE GERD guidelines 2021. J Gastroenterol 2022;57:267-285</t>
        </is>
      </c>
      <c r="G12" s="6" t="inlineStr">
        <is>
          <t>10.1007/s00535-022-01861-z</t>
        </is>
      </c>
      <c r="H12" s="6" t="inlineStr">
        <is>
          <t>35226174</t>
        </is>
      </c>
      <c r="I12" s="2" t="inlineStr">
        <is>
          <t>OPEN</t>
        </is>
      </c>
      <c r="J12" s="2" t="inlineStr">
        <is>
          <t>low（GL本文で照合）</t>
        </is>
      </c>
      <c r="K12" s="2" t="inlineStr">
        <is>
          <t>PS-02-08-05 (id: JkxnuRY)；TBL-02-07-033 (id: JlAKplQ)</t>
        </is>
      </c>
      <c r="L12" s="2" t="inlineStr">
        <is>
          <t>医学各論 Ⅵ-1-B-①（胃食道逆流症&lt;GERD&gt;、非びらん性胃食道逆流症&lt;NERD&gt;、a）</t>
        </is>
      </c>
      <c r="M12" s="2" t="inlineStr">
        <is>
          <t>[2026-10-12] 内容照合による修正（人間が2026-10-12にチャットで委任）：GL本文に ARMS と「長期の薬物依存を避けたい症例」の記載がないため、GLで確認できた手術適応の記述に差し替え。変更項目：assertion.plain_statement_ja, assertion.differential, provenance.corroboration, uncertainty。根拠：JSGE GERD GL 2021 英語版本文（PMC8938399、CC BY）
[2026-10-12] status draft → verified_sources（識別子・ライセンスを API で照合済み、主張文の数値・推奨を一次資料と照合：JSGE GERD GL 2021 英語版本文（PMC8938399、CC BY）。人間が2026-10-12にチャットで委任）</t>
        </is>
      </c>
      <c r="N12" s="3" t="inlineStr"/>
      <c r="O12" s="3" t="inlineStr"/>
      <c r="P12" s="3" t="inlineStr"/>
    </row>
    <row r="13">
      <c r="A13" s="2" t="inlineStr">
        <is>
          <t>ES-012</t>
        </is>
      </c>
      <c r="B13" s="2" t="inlineStr">
        <is>
          <t>draft</t>
        </is>
      </c>
      <c r="C13" s="2" t="inlineStr">
        <is>
          <t>日本では食道胃接合部を柵状血管の下端で定義し、Barrett食道を全周3 cm以上のLSBEとそれ以外のSSBEに分ける。組織学的な腸上皮化生は必須としない。</t>
        </is>
      </c>
      <c r="D13" s="2" t="inlineStr">
        <is>
          <t>region: 日本</t>
        </is>
      </c>
      <c r="E13" s="2" t="inlineStr">
        <is>
          <t>鑑別：米国ACGは長さ1 cm以上と腸上皮化生を必須とする（ES-013）
誤解：日本でも生検で杯細胞を確認しないとBarrettと呼べないと考える</t>
        </is>
      </c>
      <c r="F13" s="2" t="inlineStr">
        <is>
          <t>Japanese Classification of Esophageal Cancer 12th ed. Part I. Esophagus 2024;21:179-215</t>
        </is>
      </c>
      <c r="G13" s="6" t="inlineStr">
        <is>
          <t>10.1007/s10388-024-01054-y</t>
        </is>
      </c>
      <c r="H13" s="6" t="inlineStr">
        <is>
          <t>38568243</t>
        </is>
      </c>
      <c r="I13" s="2" t="inlineStr">
        <is>
          <t>OPEN</t>
        </is>
      </c>
      <c r="J13" s="2" t="inlineStr">
        <is>
          <t>medium</t>
        </is>
      </c>
      <c r="K13" s="2" t="inlineStr">
        <is>
          <t>PS-02-08-05 (id: JkxnuRY)</t>
        </is>
      </c>
      <c r="L13" s="2" t="inlineStr">
        <is>
          <t>医学各論 Ⅵ-1-B-②（逆流性食道炎（備考：Barrett上皮、Barrett食道）、a）</t>
        </is>
      </c>
      <c r="M13" s="2" t="inlineStr"/>
      <c r="N13" s="3" t="inlineStr"/>
      <c r="O13" s="3" t="inlineStr"/>
      <c r="P13" s="3" t="inlineStr"/>
    </row>
    <row r="14">
      <c r="A14" s="2" t="inlineStr">
        <is>
          <t>ES-013</t>
        </is>
      </c>
      <c r="B14" s="2" t="inlineStr">
        <is>
          <t>verified_sources</t>
        </is>
      </c>
      <c r="C14" s="2" t="inlineStr">
        <is>
          <t>米国ACG 2022は、Barrett食道の診断に二つの条件を求める。食道胃接合部より口側の円柱上皮が1 cm以上あること、そして生検で腸上皮化生を認めることである。</t>
        </is>
      </c>
      <c r="D14" s="2" t="inlineStr">
        <is>
          <t>region: 米国</t>
        </is>
      </c>
      <c r="E14" s="2" t="inlineStr">
        <is>
          <t>鑑別：日本の定義（ES-012）
誤解：1 cm未満の不整なZ線もサーベイランスの対象と考える</t>
        </is>
      </c>
      <c r="F14" s="2" t="inlineStr">
        <is>
          <t>Shaheen NJ, et al. ACG Barrett's Esophagus guideline. Am J Gastroenterol 2022;117:559-587</t>
        </is>
      </c>
      <c r="G14" s="6" t="inlineStr">
        <is>
          <t>10.14309/ajg.0000000000001680</t>
        </is>
      </c>
      <c r="H14" s="6" t="inlineStr">
        <is>
          <t>35354777</t>
        </is>
      </c>
      <c r="I14" s="2" t="inlineStr">
        <is>
          <t>RESTRICTED</t>
        </is>
      </c>
      <c r="J14" s="2" t="inlineStr">
        <is>
          <t>medium</t>
        </is>
      </c>
      <c r="K14" s="2" t="inlineStr">
        <is>
          <t>PS-02-08-05 (id: JkxnuRY)</t>
        </is>
      </c>
      <c r="L14" s="2" t="inlineStr">
        <is>
          <t>医学各論 Ⅵ-1-B-②（逆流性食道炎（備考：Barrett上皮、Barrett食道）、a）</t>
        </is>
      </c>
      <c r="M14" s="2" t="inlineStr">
        <is>
          <t>[2026-10-12] status draft → verified_sources（識別子・ライセンスを API で照合済み、主張文の数値・推奨を一次資料と照合：ACG Barrett GL 2022 本文（PMC10259184）。人間が2026-10-12にチャットで委任）</t>
        </is>
      </c>
      <c r="N14" s="3" t="inlineStr"/>
      <c r="O14" s="3" t="inlineStr"/>
      <c r="P14" s="3" t="inlineStr"/>
    </row>
    <row r="15">
      <c r="A15" s="2" t="inlineStr">
        <is>
          <t>ES-014</t>
        </is>
      </c>
      <c r="B15" s="2" t="inlineStr">
        <is>
          <t>verified_sources</t>
        </is>
      </c>
      <c r="C15" s="2" t="inlineStr">
        <is>
          <t>ACG 2022は、Barrett食道の癌への進展率を、異形成なし（NDBE）で年0.05〜0.2%程度、低異型度異形成（LGD）で年約0.7%と見積もっている。</t>
        </is>
      </c>
      <c r="D15" s="2" t="inlineStr">
        <is>
          <t>region: 欧米</t>
        </is>
      </c>
      <c r="E15" s="2" t="inlineStr">
        <is>
          <t>鑑別：日本のSSBEの発癌率はわかっていない（ES-015）
誤解：NDBEの発癌率を過大に見積もる</t>
        </is>
      </c>
      <c r="F15" s="2" t="inlineStr">
        <is>
          <t>Shaheen NJ, et al. ACG Barrett's Esophagus guideline. Am J Gastroenterol 2022;117:559-587</t>
        </is>
      </c>
      <c r="G15" s="6" t="inlineStr">
        <is>
          <t>10.14309/ajg.0000000000001680</t>
        </is>
      </c>
      <c r="H15" s="6" t="inlineStr">
        <is>
          <t>35354777</t>
        </is>
      </c>
      <c r="I15" s="2" t="inlineStr">
        <is>
          <t>RESTRICTED</t>
        </is>
      </c>
      <c r="J15" s="2" t="inlineStr">
        <is>
          <t>low（GL本文で照合。本文の表記は「0.2%–0.05%」）</t>
        </is>
      </c>
      <c r="K15" s="2" t="inlineStr">
        <is>
          <t>PS-02-08-05 (id: JkxnuRY)</t>
        </is>
      </c>
      <c r="L15" s="2" t="inlineStr">
        <is>
          <t>医学各論 Ⅵ-1-B-②（逆流性食道炎（備考：Barrett上皮、Barrett食道）、a）</t>
        </is>
      </c>
      <c r="M15" s="2" t="inlineStr">
        <is>
          <t>[2026-10-12] 内容照合による修正（人間が2026-10-12にチャットで委任）：2022年版の本文で確認できた数値に訂正。HGDの年約7%は2022年版本文に記載がないため削除。変更項目：assertion.plain_statement_ja, provenance.corroboration, uncertainty。根拠：ACG Barrett GL 2022 本文（PMC10259184）
[2026-10-12] status draft → verified_sources（識別子・ライセンスを API で照合済み、主張文の数値・推奨を一次資料と照合：ACG Barrett GL 2022 本文（PMC10259184）。人間が2026-10-12にチャットで委任）</t>
        </is>
      </c>
      <c r="N15" s="3" t="inlineStr"/>
      <c r="O15" s="3" t="inlineStr"/>
      <c r="P15" s="3" t="inlineStr"/>
    </row>
    <row r="16">
      <c r="A16" s="2" t="inlineStr">
        <is>
          <t>ES-015</t>
        </is>
      </c>
      <c r="B16" s="2" t="inlineStr">
        <is>
          <t>verified_sources</t>
        </is>
      </c>
      <c r="C16" s="2" t="inlineStr">
        <is>
          <t>日本では、Barrett食道から食道癌が発生するリスクは、報告例が少ないため明らかになっていない。</t>
        </is>
      </c>
      <c r="D16" s="2" t="inlineStr">
        <is>
          <t>region: 日本</t>
        </is>
      </c>
      <c r="E16" s="2" t="inlineStr">
        <is>
          <t>鑑別：欧米ではBarrett食道が腺癌の確立した前癌病変
誤解：欧米の発癌率を日本にそのまま当てはめる</t>
        </is>
      </c>
      <c r="F16" s="2" t="inlineStr">
        <is>
          <t>Kitagawa Y, et al. JES Esophageal cancer practice guidelines 2022 part 1. Esophagus 2023;20:343-372</t>
        </is>
      </c>
      <c r="G16" s="6" t="inlineStr">
        <is>
          <t>10.1007/s10388-023-00993-2</t>
        </is>
      </c>
      <c r="H16" s="6" t="inlineStr">
        <is>
          <t>36933136</t>
        </is>
      </c>
      <c r="I16" s="2" t="inlineStr">
        <is>
          <t>OPEN</t>
        </is>
      </c>
      <c r="J16" s="2" t="inlineStr">
        <is>
          <t>low</t>
        </is>
      </c>
      <c r="K16" s="2" t="inlineStr">
        <is>
          <t>PS-02-08-05 (id: JkxnuRY)</t>
        </is>
      </c>
      <c r="L16" s="2" t="inlineStr">
        <is>
          <t>医学各論 Ⅵ-1-B-②（逆流性食道炎（備考：Barrett上皮、Barrett食道）、a）</t>
        </is>
      </c>
      <c r="M16" s="2" t="inlineStr">
        <is>
          <t>[2026-10-12] status draft → verified_sources（識別子・ライセンスを API で照合済み、主張文の数値・推奨を一次資料と照合：日本食道学会 食道癌診療GL 2022 Part 1 本文（PMC10024303、CC BY）。人間が2026-10-12にチャットで委任）</t>
        </is>
      </c>
      <c r="N16" s="3" t="inlineStr"/>
      <c r="O16" s="3" t="inlineStr"/>
      <c r="P16" s="3" t="inlineStr"/>
    </row>
    <row r="17">
      <c r="A17" s="2" t="inlineStr">
        <is>
          <t>ES-016</t>
        </is>
      </c>
      <c r="B17" s="2" t="inlineStr">
        <is>
          <t>verified_sources</t>
        </is>
      </c>
      <c r="C17" s="2" t="inlineStr">
        <is>
          <t>ACG 2022は、NDBEのサーベイランス間隔を長さで分けている。3 cm未満は5年ごと、3 cm以上は3年ごとである。</t>
        </is>
      </c>
      <c r="D17" s="2" t="inlineStr">
        <is>
          <t>region: 米国；population: NDBE</t>
        </is>
      </c>
      <c r="E17" s="2" t="inlineStr">
        <is>
          <t>鑑別：LGDは1年間6か月ごと、その後は年1回
誤解：NDBEを毎年内視鏡で追う必要があると考える</t>
        </is>
      </c>
      <c r="F17" s="2" t="inlineStr">
        <is>
          <t>Shaheen NJ, et al. ACG Barrett's Esophagus guideline. Am J Gastroenterol 2022;117:559-587</t>
        </is>
      </c>
      <c r="G17" s="6" t="inlineStr">
        <is>
          <t>10.14309/ajg.0000000000001680</t>
        </is>
      </c>
      <c r="H17" s="6" t="inlineStr">
        <is>
          <t>35354777</t>
        </is>
      </c>
      <c r="I17" s="2" t="inlineStr">
        <is>
          <t>RESTRICTED</t>
        </is>
      </c>
      <c r="J17" s="2" t="inlineStr">
        <is>
          <t>low</t>
        </is>
      </c>
      <c r="K17" s="2" t="inlineStr">
        <is>
          <t>PS-02-08-05 (id: JkxnuRY)</t>
        </is>
      </c>
      <c r="L17" s="2" t="inlineStr">
        <is>
          <t>医学各論 Ⅵ-1-B-②（逆流性食道炎（備考：Barrett上皮、Barrett食道）、a）</t>
        </is>
      </c>
      <c r="M17" s="2" t="inlineStr">
        <is>
          <t>[2026-10-12] status draft → verified_sources（識別子・ライセンスを API で照合済み、主張文の数値・推奨を一次資料と照合：ACG Barrett GL 2022 本文（PMC10259184）。人間が2026-10-12にチャットで委任）</t>
        </is>
      </c>
      <c r="N17" s="3" t="inlineStr"/>
      <c r="O17" s="3" t="inlineStr"/>
      <c r="P17" s="3" t="inlineStr"/>
    </row>
    <row r="18">
      <c r="A18" s="2" t="inlineStr">
        <is>
          <t>ES-017</t>
        </is>
      </c>
      <c r="B18" s="2" t="inlineStr">
        <is>
          <t>verified_sources</t>
        </is>
      </c>
      <c r="C18" s="2" t="inlineStr">
        <is>
          <t>ACGは、Barrett食道の生検について、炎症を制御してから2 cm間隔で4方向から系統的に行う方法（Seattle protocol）を標準としている。</t>
        </is>
      </c>
      <c r="D18" s="2" t="inlineStr">
        <is>
          <t>region: 米国</t>
        </is>
      </c>
      <c r="E18" s="2" t="inlineStr">
        <is>
          <t>鑑別：NBIによる狙撃生検（ACG 2022はSeattle protocolの継続を推奨）
誤解：炎症が強い時期の生検で異形成を判定する</t>
        </is>
      </c>
      <c r="F18" s="2" t="inlineStr">
        <is>
          <t>Shaheen NJ, et al. ACG Barrett's Esophagus guideline. Am J Gastroenterol 2022;117:559-587</t>
        </is>
      </c>
      <c r="G18" s="6" t="inlineStr">
        <is>
          <t>10.14309/ajg.0000000000001680</t>
        </is>
      </c>
      <c r="H18" s="6" t="inlineStr">
        <is>
          <t>35354777</t>
        </is>
      </c>
      <c r="I18" s="2" t="inlineStr">
        <is>
          <t>RESTRICTED</t>
        </is>
      </c>
      <c r="J18" s="2" t="inlineStr">
        <is>
          <t>low</t>
        </is>
      </c>
      <c r="K18" s="2" t="inlineStr">
        <is>
          <t>PS-02-08-05 (id: JkxnuRY)</t>
        </is>
      </c>
      <c r="L18" s="2" t="inlineStr">
        <is>
          <t>医学各論 Ⅵ-1-B-②（逆流性食道炎（備考：Barrett上皮、Barrett食道）、a）</t>
        </is>
      </c>
      <c r="M18" s="2" t="inlineStr">
        <is>
          <t>[2026-10-12] 内容照合による修正（人間が2026-10-12にチャットで委任）：「日本では狙撃生検が中心（要確認）」は出典がないため、GL本文で確認できる対比に差し替え。変更項目：assertion.differential。根拠：ACG Barrett GL 2022 本文（PMC10259184）
[2026-10-12] status draft → verified_sources（識別子・ライセンスを API で照合済み、主張文の数値・推奨を一次資料と照合：ACG Barrett GL 2022 本文（PMC10259184）。人間が2026-10-12にチャットで委任）</t>
        </is>
      </c>
      <c r="N18" s="3" t="inlineStr"/>
      <c r="O18" s="3" t="inlineStr"/>
      <c r="P18" s="3" t="inlineStr"/>
    </row>
    <row r="19">
      <c r="A19" s="2" t="inlineStr">
        <is>
          <t>ES-018</t>
        </is>
      </c>
      <c r="B19" s="2" t="inlineStr">
        <is>
          <t>verified_sources</t>
        </is>
      </c>
      <c r="C19" s="2" t="inlineStr">
        <is>
          <t>EoEは、次の三つがそろったときに診断する。食道の機能障害による症状があること、食道生検で上皮内の好酸球が15個/HPF以上（約60個/mm²）であること、好酸球増多をきたす他の疾患を除外したことである。</t>
        </is>
      </c>
      <c r="D19" s="2" t="inlineStr">
        <is>
          <t>region: 国際</t>
        </is>
      </c>
      <c r="E19" s="2" t="inlineStr">
        <is>
          <t>鑑別：GERD、好酸球性胃腸炎、薬剤性
誤解：PPIで改善した例はEoEではないと考える</t>
        </is>
      </c>
      <c r="F19" s="2" t="inlineStr">
        <is>
          <t>ACG Clinical Guideline: EoE. Am J Gastroenterol 2025</t>
        </is>
      </c>
      <c r="G19" s="6" t="inlineStr">
        <is>
          <t>10.14309/ajg.0000000000003194</t>
        </is>
      </c>
      <c r="H19" s="6" t="inlineStr">
        <is>
          <t>39745304</t>
        </is>
      </c>
      <c r="I19" s="2" t="inlineStr">
        <is>
          <t>UNKNOWN</t>
        </is>
      </c>
      <c r="J19" s="2" t="inlineStr">
        <is>
          <t>low</t>
        </is>
      </c>
      <c r="K19" s="2" t="inlineStr">
        <is>
          <t>PS-02-08-05 (id: JkxnuRY)</t>
        </is>
      </c>
      <c r="L19" s="2" t="inlineStr">
        <is>
          <t>医学各論 Ⅵ-5-A-②（消化管アレルギー、好酸球性胃腸炎、好酸球性食道炎、b）</t>
        </is>
      </c>
      <c r="M19" s="2" t="inlineStr">
        <is>
          <t>[2026-10-12] status draft → verified_sources（識別子・ライセンスを API で照合済み、主張文の数値・推奨を一次資料と照合：AGREE 2018（PMID 30009819）の抄録。人間が2026-10-12にチャットで委任）</t>
        </is>
      </c>
      <c r="N19" s="3" t="inlineStr"/>
      <c r="O19" s="3" t="inlineStr"/>
      <c r="P19" s="3" t="inlineStr"/>
    </row>
    <row r="20">
      <c r="A20" s="2" t="inlineStr">
        <is>
          <t>ES-019</t>
        </is>
      </c>
      <c r="B20" s="2" t="inlineStr">
        <is>
          <t>verified_sources</t>
        </is>
      </c>
      <c r="C20" s="2" t="inlineStr">
        <is>
          <t>現在の国際診断基準では、PPIが効くことはEoEを除外する理由にならない。PPIはEoEの治療選択肢の一つとして扱われる。</t>
        </is>
      </c>
      <c r="D20" s="2" t="inlineStr">
        <is>
          <t>region: 国際</t>
        </is>
      </c>
      <c r="E20" s="2" t="inlineStr">
        <is>
          <t>鑑別：2007年・2011年の旧基準では、PPIが無効であることが要件だった
誤解：PPIが効いたらEoEではないと考える</t>
        </is>
      </c>
      <c r="F20" s="2" t="inlineStr">
        <is>
          <t>Dellon ES, et al. Updated international consensus diagnostic criteria for eosinophilic esophagitis: proceedings of the AGREE conference. Gastroenterology 2018;155:1022-1033</t>
        </is>
      </c>
      <c r="G20" s="6" t="inlineStr">
        <is>
          <t>10.1053/j.gastro.2018.07.009</t>
        </is>
      </c>
      <c r="H20" s="6" t="inlineStr">
        <is>
          <t>30009819</t>
        </is>
      </c>
      <c r="I20" s="2" t="inlineStr">
        <is>
          <t>RESTRICTED</t>
        </is>
      </c>
      <c r="J20" s="2" t="inlineStr">
        <is>
          <t>low（抄録で照合）</t>
        </is>
      </c>
      <c r="K20" s="2" t="inlineStr">
        <is>
          <t>PS-02-08-05 (id: JkxnuRY)</t>
        </is>
      </c>
      <c r="L20" s="2" t="inlineStr">
        <is>
          <t>医学各論 Ⅵ-5-A-②（消化管アレルギー、好酸球性胃腸炎、好酸球性食道炎、b）</t>
        </is>
      </c>
      <c r="M20" s="2" t="inlineStr">
        <is>
          <t>[2026-10-12] 内容照合による修正（人間が2026-10-12にチャットで委任）：PubMed で書誌を特定し識別子を設定。変更項目：provenance.source, provenance.doi, provenance.pmid, provenance.pmcid, uncertainty。根拠：AGREE 2018（PMID 30009819）の抄録
[2026-10-12] status draft → verified_sources（識別子・ライセンスを API で照合済み、主張文の数値・推奨を一次資料と照合：AGREE 2018（PMID 30009819）の抄録。人間が2026-10-12にチャットで委任）</t>
        </is>
      </c>
      <c r="N20" s="3" t="inlineStr"/>
      <c r="O20" s="3" t="inlineStr"/>
      <c r="P20" s="3" t="inlineStr"/>
    </row>
    <row r="21">
      <c r="A21" s="2" t="inlineStr">
        <is>
          <t>ES-020</t>
        </is>
      </c>
      <c r="B21" s="2" t="inlineStr">
        <is>
          <t>draft</t>
        </is>
      </c>
      <c r="C21" s="2" t="inlineStr">
        <is>
          <t>日本の多施設研究では、上部消化管内視鏡130,013件のうちEoEは66例（0.051%）で、約38%は健診の内視鏡で見つかった。</t>
        </is>
      </c>
      <c r="D21" s="2" t="inlineStr">
        <is>
          <t>region: 日本；population: 内視鏡受検者（2012〜2018年、9施設）</t>
        </is>
      </c>
      <c r="E21" s="2" t="inlineStr">
        <is>
          <t>鑑別：欧米の人口あたり有病率とは分母が異なる
誤解：小児のアレルギー患者だけの病気と考える</t>
        </is>
      </c>
      <c r="F21" s="2" t="inlineStr">
        <is>
          <t>Clinical and endoscopic characteristics of EoE in Japan: a case-control study</t>
        </is>
      </c>
      <c r="G21" s="6" t="inlineStr">
        <is>
          <t>10.5415/apallergy.2020.10.e16</t>
        </is>
      </c>
      <c r="H21" s="6" t="inlineStr">
        <is>
          <t>32411581</t>
        </is>
      </c>
      <c r="I21" s="2" t="inlineStr">
        <is>
          <t>RESTRICTED</t>
        </is>
      </c>
      <c r="J21" s="2" t="inlineStr">
        <is>
          <t>low</t>
        </is>
      </c>
      <c r="K21" s="2" t="inlineStr">
        <is>
          <t>PS-02-08-05 (id: JkxnuRY)；TBL-02-07-030 (id: JlAKplE)</t>
        </is>
      </c>
      <c r="L21" s="2" t="inlineStr">
        <is>
          <t>医学各論 Ⅵ-5-A-②（消化管アレルギー、好酸球性胃腸炎、好酸球性食道炎、b）</t>
        </is>
      </c>
      <c r="M21" s="2" t="inlineStr"/>
      <c r="N21" s="3" t="inlineStr"/>
      <c r="O21" s="3" t="inlineStr"/>
      <c r="P21" s="3" t="inlineStr"/>
    </row>
    <row r="22">
      <c r="A22" s="2" t="inlineStr">
        <is>
          <t>ES-021</t>
        </is>
      </c>
      <c r="B22" s="2" t="inlineStr">
        <is>
          <t>verified_sources</t>
        </is>
      </c>
      <c r="C22" s="2" t="inlineStr">
        <is>
          <t>EoEの典型的な内視鏡所見は、輪状溝、縦走溝、白斑（滲出物）、浮腫で、狭窄を伴うこともある。これらはEREFSで点数化する。</t>
        </is>
      </c>
      <c r="D22" s="2" t="inlineStr">
        <is>
          <t>region: 国際</t>
        </is>
      </c>
      <c r="E22" s="2" t="inlineStr">
        <is>
          <t>鑑別：カンジダ食道炎の白苔
誤解：内視鏡所見が正常ならEoEを否定できると考える</t>
        </is>
      </c>
      <c r="F22" s="2" t="inlineStr">
        <is>
          <t>Hirano I, et al. Endoscopic assessment of the oesophageal features of eosinophilic oesophagitis: validation of a novel classification and grading system. Gut 2013;62:489-495</t>
        </is>
      </c>
      <c r="G22" s="6" t="inlineStr">
        <is>
          <t>10.1136/gutjnl-2011-301817</t>
        </is>
      </c>
      <c r="H22" s="6" t="inlineStr">
        <is>
          <t>22619364</t>
        </is>
      </c>
      <c r="I22" s="2" t="inlineStr">
        <is>
          <t>RESTRICTED</t>
        </is>
      </c>
      <c r="J22" s="2" t="inlineStr">
        <is>
          <t>low（抄録で照合）</t>
        </is>
      </c>
      <c r="K22" s="2" t="inlineStr">
        <is>
          <t>PS-02-08-05 (id: JkxnuRY)；TBL-02-07-030 (id: JlAKplE)</t>
        </is>
      </c>
      <c r="L22" s="2" t="inlineStr">
        <is>
          <t>医学各論 Ⅵ-5-A-②（消化管アレルギー、好酸球性胃腸炎、好酸球性食道炎、b）</t>
        </is>
      </c>
      <c r="M22" s="2" t="inlineStr">
        <is>
          <t>[2026-10-12] 内容照合による修正（人間が2026-10-12にチャットで委任）：出典未取得だったカードに Hirano 2013 を設定。所見の列挙を出典に合わせて整理（主要4所見と追加所見の狭窄）。変更項目：provenance.source, provenance.doi, provenance.pmid, provenance.source_license, provenance.source_class, assertion.plain_statement_ja, uncertainty。根拠：Hirano 2013（PMID 22619364）の抄録
[2026-10-12] status draft → verified_sources（識別子・ライセンスを API で照合済み、主張文の数値・推奨を一次資料と照合：Hirano 2013（PMID 22619364）の抄録。人間が2026-10-12にチャットで委任）</t>
        </is>
      </c>
      <c r="N22" s="3" t="inlineStr"/>
      <c r="O22" s="3" t="inlineStr"/>
      <c r="P22" s="3" t="inlineStr"/>
    </row>
    <row r="23">
      <c r="A23" s="2" t="inlineStr">
        <is>
          <t>ES-022</t>
        </is>
      </c>
      <c r="B23" s="2" t="inlineStr">
        <is>
          <t>draft</t>
        </is>
      </c>
      <c r="C23" s="2" t="inlineStr">
        <is>
          <t>EoEの初期治療には、PPI、嚥下させる局所ステロイド、除去食療法の3つがある。治療目標の目安は、組織学的に好酸球15個/HPF未満である。</t>
        </is>
      </c>
      <c r="D23" s="2" t="inlineStr">
        <is>
          <t>region: 国際</t>
        </is>
      </c>
      <c r="E23" s="2" t="inlineStr">
        <is>
          <t>鑑別：日本で使える局所ステロイド製剤と保険適用は要確認
誤解：全身ステロイドが第一選択と考える</t>
        </is>
      </c>
      <c r="F23" s="2" t="inlineStr">
        <is>
          <t>ACG Clinical Guideline: EoE. Am J Gastroenterol 2025</t>
        </is>
      </c>
      <c r="G23" s="6" t="inlineStr">
        <is>
          <t>10.14309/ajg.0000000000003194</t>
        </is>
      </c>
      <c r="H23" s="6" t="inlineStr">
        <is>
          <t>39745304</t>
        </is>
      </c>
      <c r="I23" s="2" t="inlineStr">
        <is>
          <t>UNKNOWN</t>
        </is>
      </c>
      <c r="J23" s="2" t="inlineStr">
        <is>
          <t>medium</t>
        </is>
      </c>
      <c r="K23" s="2" t="inlineStr">
        <is>
          <t>PS-02-08-05 (id: JkxnuRY)</t>
        </is>
      </c>
      <c r="L23" s="2" t="inlineStr">
        <is>
          <t>医学各論 Ⅵ-5-A-②（消化管アレルギー、好酸球性胃腸炎、好酸球性食道炎、b）</t>
        </is>
      </c>
      <c r="M23" s="2" t="inlineStr"/>
      <c r="N23" s="3" t="inlineStr"/>
      <c r="O23" s="3" t="inlineStr"/>
      <c r="P23" s="3" t="inlineStr"/>
    </row>
    <row r="24">
      <c r="A24" s="2" t="inlineStr">
        <is>
          <t>ES-023</t>
        </is>
      </c>
      <c r="B24" s="2" t="inlineStr">
        <is>
          <t>verified_sources</t>
        </is>
      </c>
      <c r="C24" s="2" t="inlineStr">
        <is>
          <t>12歳以上の好酸球性食道炎で、デュピルマブ300mgの週1回皮下投与は、プラセボに比べ24週時の組織学的寛解率を高め、嚥下障害の症状スコアを改善した。</t>
        </is>
      </c>
      <c r="D24" s="2" t="inlineStr">
        <is>
          <t>生検で確定したEoE（好酸球15/HPF以上）</t>
        </is>
      </c>
      <c r="E24" s="2" t="inlineStr">
        <is>
          <t>鑑別：PPI、局所ステロイド、食物除去
誤解：隔週投与でも同等の症状改善が示されたわけではない</t>
        </is>
      </c>
      <c r="F24" s="2" t="inlineStr">
        <is>
          <t>Dellon ES, et al. NEJM 2022;387:2317-2330</t>
        </is>
      </c>
      <c r="G24" s="6" t="inlineStr">
        <is>
          <t>10.1056/NEJMoa2205982</t>
        </is>
      </c>
      <c r="H24" s="6" t="inlineStr">
        <is>
          <t>36546624</t>
        </is>
      </c>
      <c r="I24" s="2" t="inlineStr">
        <is>
          <t>RESTRICTED</t>
        </is>
      </c>
      <c r="J24" s="2" t="inlineStr">
        <is>
          <t>本文未閲覧。症状スコアの数値は未確認</t>
        </is>
      </c>
      <c r="K24" s="2" t="inlineStr">
        <is>
          <t>PS-02-08-05 (id: JkxnuRY)</t>
        </is>
      </c>
      <c r="L24" s="2" t="inlineStr">
        <is>
          <t>医学各論 Ⅵ-5-A-②（消化管アレルギー、好酸球性胃腸炎、好酸球性食道炎、b）</t>
        </is>
      </c>
      <c r="M24" s="2" t="inlineStr">
        <is>
          <t>[2026-10-12] 統合：本文を v2 の ES-R07（raw/01b_esophagus_v2.md）で全文置換。ID は v1 の ES-023 を引き継ぐ。置換前の v1 本文は git 履歴の data/facts/_staging_ES_v1.yaml にある（proposals/es_merge_map.csv、claude-code（人間が2026-10-12にチャットで委任））
[2026-10-12] status draft → verified_sources（識別子・ライセンスを API で照合済み、主張文の数値・推奨を一次資料と照合：Dellon ES, NEJM 2022（PMID 36546624）の抄録：Part A 組織学的寛解 60%（25/42）対 5%（2/39）。人間が2026-10-12にチャットで委任）</t>
        </is>
      </c>
      <c r="N24" s="3" t="inlineStr"/>
      <c r="O24" s="3" t="inlineStr"/>
      <c r="P24" s="3" t="inlineStr"/>
    </row>
    <row r="25">
      <c r="A25" s="2" t="inlineStr">
        <is>
          <t>ES-024</t>
        </is>
      </c>
      <c r="B25" s="2" t="inlineStr">
        <is>
          <t>draft</t>
        </is>
      </c>
      <c r="C25" s="2" t="inlineStr">
        <is>
          <t>デュピルマブは米国FDAで2022年5月20日に12歳以上（体重40kg以上）のEoEに承認され、2024年1月に1〜11歳（体重15kg以上）へ適応が拡大された。日本では今回の調査でEoEへの承認の記録を確認できなかった。</t>
        </is>
      </c>
      <c r="D25" s="2" t="inlineStr">
        <is>
          <t>国内の薬事承認状況</t>
        </is>
      </c>
      <c r="E25" s="2" t="inlineStr">
        <is>
          <t>鑑別：国内で既承認のアトピー性皮膚炎、喘息、COPDなど
誤解：海外で承認されていても国内で保険適用されるとは限らない</t>
        </is>
      </c>
      <c r="F25" s="2" t="inlineStr">
        <is>
          <t>デュピクセント 医薬品インタビューフォーム（2026年3月改訂 第20版）、サノフィ国内申請報道</t>
        </is>
      </c>
      <c r="G25" s="2" t="inlineStr"/>
      <c r="H25" s="2" t="inlineStr"/>
      <c r="I25" s="2" t="inlineStr">
        <is>
          <t>RESTRICTED</t>
        </is>
      </c>
      <c r="J25" s="2" t="inlineStr">
        <is>
          <t>PMDA添付文書の効能・効果欄を全文照合していない。FDA承認日は企業発表で確認したもので、米国政府資料では未照合</t>
        </is>
      </c>
      <c r="K25" s="2" t="inlineStr">
        <is>
          <t>PS-02-08-05 (id: JkxnuRY)</t>
        </is>
      </c>
      <c r="L25" s="2" t="inlineStr">
        <is>
          <t>医学各論 Ⅵ-5-A-②（消化管アレルギー、好酸球性胃腸炎、好酸球性食道炎、b）</t>
        </is>
      </c>
      <c r="M25" s="2" t="inlineStr">
        <is>
          <t>[2026-10-12] 統合：本文を v2 の ES-R08（raw/01b_esophagus_v2.md）で全文置換。ID は v1 の ES-024 を引き継ぐ。置換前の v1 本文は git 履歴の data/facts/_staging_ES_v1.yaml にある（proposals/es_merge_map.csv、claude-code（人間が2026-10-12にチャットで委任））</t>
        </is>
      </c>
      <c r="N25" s="3" t="inlineStr"/>
      <c r="O25" s="3" t="inlineStr"/>
      <c r="P25" s="3" t="inlineStr"/>
    </row>
    <row r="26">
      <c r="A26" s="2" t="inlineStr">
        <is>
          <t>ES-025</t>
        </is>
      </c>
      <c r="B26" s="2" t="inlineStr">
        <is>
          <t>draft</t>
        </is>
      </c>
      <c r="C26" s="2" t="inlineStr">
        <is>
          <t>Chicago分類v4.0では、アカラシアを、IRP中央値の異常と蠕動の完全消失で定義する。そのうえで、20%以上の嚥下で食道全体の同時加圧（PEP）を示すものをII型、PEPのないものをI型とする。</t>
        </is>
      </c>
      <c r="D26" s="2" t="inlineStr">
        <is>
          <t>region: 国際</t>
        </is>
      </c>
      <c r="E26" s="2" t="inlineStr">
        <is>
          <t>鑑別：EGJOO（IRPは上昇しているが蠕動が残る）
誤解：I型とII型を食道拡張の程度で区別する</t>
        </is>
      </c>
      <c r="F26" s="2" t="inlineStr">
        <is>
          <t>Yadlapati R, et al. Chicago Classification v4.0. Neurogastroenterol Motil 2021;33:e14058</t>
        </is>
      </c>
      <c r="G26" s="6" t="inlineStr">
        <is>
          <t>10.1111/nmo.14058</t>
        </is>
      </c>
      <c r="H26" s="6" t="inlineStr">
        <is>
          <t>33373111</t>
        </is>
      </c>
      <c r="I26" s="2" t="inlineStr">
        <is>
          <t>RESTRICTED</t>
        </is>
      </c>
      <c r="J26" s="2" t="inlineStr">
        <is>
          <t>low</t>
        </is>
      </c>
      <c r="K26" s="2" t="inlineStr">
        <is>
          <t>PS-02-08-05 (id: JkxnuRY)；TBL-02-07-004 (id: JlAKpjc)</t>
        </is>
      </c>
      <c r="L26" s="2" t="inlineStr">
        <is>
          <t>医学各論 Ⅵ-1-A-①（食道アカラシア、b）</t>
        </is>
      </c>
      <c r="M26" s="2" t="inlineStr"/>
      <c r="N26" s="3" t="inlineStr"/>
      <c r="O26" s="3" t="inlineStr"/>
      <c r="P26" s="3" t="inlineStr"/>
    </row>
    <row r="27">
      <c r="A27" s="2" t="inlineStr">
        <is>
          <t>ES-026</t>
        </is>
      </c>
      <c r="B27" s="2" t="inlineStr">
        <is>
          <t>draft</t>
        </is>
      </c>
      <c r="C27" s="2" t="inlineStr">
        <is>
          <t>III型アカラシアは、IRP中央値が異常で、20%以上の嚥下が早期・痙攣性収縮を示し、正常な蠕動を伴わないものである。</t>
        </is>
      </c>
      <c r="D27" s="2" t="inlineStr">
        <is>
          <t>region: 国際</t>
        </is>
      </c>
      <c r="E27" s="2" t="inlineStr">
        <is>
          <t>鑑別：遠位食道痙攣（IRPは正常）
誤解：蠕動の一部残存を許す</t>
        </is>
      </c>
      <c r="F27" s="2" t="inlineStr">
        <is>
          <t>Yadlapati R, et al. Chicago Classification v4.0. Neurogastroenterol Motil 2021;33:e14058</t>
        </is>
      </c>
      <c r="G27" s="6" t="inlineStr">
        <is>
          <t>10.1111/nmo.14058</t>
        </is>
      </c>
      <c r="H27" s="6" t="inlineStr">
        <is>
          <t>33373111</t>
        </is>
      </c>
      <c r="I27" s="2" t="inlineStr">
        <is>
          <t>RESTRICTED</t>
        </is>
      </c>
      <c r="J27" s="2" t="inlineStr">
        <is>
          <t>low</t>
        </is>
      </c>
      <c r="K27" s="2" t="inlineStr">
        <is>
          <t>PS-02-08-05 (id: JkxnuRY)；TBL-02-07-004 (id: JlAKpjc)</t>
        </is>
      </c>
      <c r="L27" s="2" t="inlineStr">
        <is>
          <t>医学各論 Ⅵ-1-A-①（食道アカラシア、b）</t>
        </is>
      </c>
      <c r="M27" s="2" t="inlineStr"/>
      <c r="N27" s="3" t="inlineStr"/>
      <c r="O27" s="3" t="inlineStr"/>
      <c r="P27" s="3" t="inlineStr"/>
    </row>
    <row r="28">
      <c r="A28" s="2" t="inlineStr">
        <is>
          <t>ES-027</t>
        </is>
      </c>
      <c r="B28" s="2" t="inlineStr">
        <is>
          <t>verified_sources</t>
        </is>
      </c>
      <c r="C28" s="2" t="inlineStr">
        <is>
          <t>Chicago分類v4.0は、HRMで判定が確定しない例（判定保留）では、錠剤を併用した時限バリウム食道造影（TBE）やFLIPを補助検査として用いるよう勧めている。</t>
        </is>
      </c>
      <c r="D28" s="2" t="inlineStr">
        <is>
          <t>region: 国際</t>
        </is>
      </c>
      <c r="E28" s="2" t="inlineStr">
        <is>
          <t>鑑別：v3.0との違い（補助検査の位置づけの明確化）
誤解：HRMだけですべての症例を確定できると考える</t>
        </is>
      </c>
      <c r="F28" s="2" t="inlineStr">
        <is>
          <t>Yadlapati R, et al. Chicago Classification v4.0. Neurogastroenterol Motil 2021;33:e14058</t>
        </is>
      </c>
      <c r="G28" s="6" t="inlineStr">
        <is>
          <t>10.1111/nmo.14058</t>
        </is>
      </c>
      <c r="H28" s="6" t="inlineStr">
        <is>
          <t>33373111</t>
        </is>
      </c>
      <c r="I28" s="2" t="inlineStr">
        <is>
          <t>RESTRICTED</t>
        </is>
      </c>
      <c r="J28" s="2" t="inlineStr">
        <is>
          <t>low（本文で照合）</t>
        </is>
      </c>
      <c r="K28" s="2" t="inlineStr">
        <is>
          <t>PS-02-08-03 (id: JkxnuRQ)；TBL-02-07-004 (id: JlAKpjc)</t>
        </is>
      </c>
      <c r="L28" s="2" t="inlineStr">
        <is>
          <t>医学各論 Ⅵ-1-A-①（食道アカラシア、b）</t>
        </is>
      </c>
      <c r="M28" s="2" t="inlineStr">
        <is>
          <t>[2026-10-12] 内容照合による修正（人間が2026-10-12にチャットで委任）：「正常値データベースを75人から469人に拡大」は本文に記載がなく出典を確認できないため削除。補助検査の記述は本文で確認。変更項目：assertion.plain_statement_ja, assertion.differential, uncertainty。根拠：Chicago Classification v4.0 本文（PMC8034247、NIH著者稿）
[2026-10-12] status draft → verified_sources（識別子・ライセンスを API で照合済み、主張文の数値・推奨を一次資料と照合：Chicago Classification v4.0 本文（PMC8034247、NIH著者稿）。人間が2026-10-12にチャットで委任）</t>
        </is>
      </c>
      <c r="N28" s="3" t="inlineStr"/>
      <c r="O28" s="3" t="inlineStr"/>
      <c r="P28" s="3" t="inlineStr"/>
    </row>
    <row r="29">
      <c r="A29" s="2" t="inlineStr">
        <is>
          <t>ES-028</t>
        </is>
      </c>
      <c r="B29" s="2" t="inlineStr">
        <is>
          <t>verified_sources</t>
        </is>
      </c>
      <c r="C29" s="2" t="inlineStr">
        <is>
          <t>遠位食道痙攣は、IRP中央値が正常で、20%以上の嚥下が早期収縮を示すものである。早期収縮の目安は遠位潜時（DL）4.5秒未満である。</t>
        </is>
      </c>
      <c r="D29" s="2" t="inlineStr">
        <is>
          <t>region: 国際</t>
        </is>
      </c>
      <c r="E29" s="2" t="inlineStr">
        <is>
          <t>鑑別：III型アカラシア
誤解：遠位食道痙攣とIII型アカラシアをIRPで区別しない</t>
        </is>
      </c>
      <c r="F29" s="2" t="inlineStr">
        <is>
          <t>Yadlapati R, et al. Chicago Classification v4.0. Neurogastroenterol Motil 2021;33:e14058</t>
        </is>
      </c>
      <c r="G29" s="6" t="inlineStr">
        <is>
          <t>10.1111/nmo.14058</t>
        </is>
      </c>
      <c r="H29" s="6" t="inlineStr">
        <is>
          <t>33373111</t>
        </is>
      </c>
      <c r="I29" s="2" t="inlineStr">
        <is>
          <t>RESTRICTED</t>
        </is>
      </c>
      <c r="J29" s="2" t="inlineStr">
        <is>
          <t>low（本文で照合：DL 4.5秒未満かつDCI 450以上を早期収縮とする）</t>
        </is>
      </c>
      <c r="K29" s="2" t="inlineStr">
        <is>
          <t>PS-02-08-05 (id: JkxnuRY)；TBL-02-07-004 (id: JlAKpjc)</t>
        </is>
      </c>
      <c r="L29" s="2" t="inlineStr">
        <is>
          <t>医学各論 Ⅵ-1-A-①（食道アカラシア、b）</t>
        </is>
      </c>
      <c r="M29" s="2" t="inlineStr">
        <is>
          <t>[2026-10-12] 内容照合による修正（人間が2026-10-12にチャットで委任）：DLの閾値を本文で確認。変更項目：uncertainty。根拠：Chicago Classification v4.0 本文（PMC8034247、NIH著者稿）
[2026-10-12] status draft → verified_sources（識別子・ライセンスを API で照合済み、主張文の数値・推奨を一次資料と照合：Chicago Classification v4.0 本文（PMC8034247、NIH著者稿）。人間が2026-10-12にチャットで委任）</t>
        </is>
      </c>
      <c r="N29" s="3" t="inlineStr"/>
      <c r="O29" s="3" t="inlineStr"/>
      <c r="P29" s="3" t="inlineStr"/>
    </row>
    <row r="30">
      <c r="A30" s="2" t="inlineStr">
        <is>
          <t>ES-029</t>
        </is>
      </c>
      <c r="B30" s="2" t="inlineStr">
        <is>
          <t>verified_sources</t>
        </is>
      </c>
      <c r="C30" s="2" t="inlineStr">
        <is>
          <t>Chicago分類v4.0では、DCIが450〜8,000 mmHg·s·cmを正常収縮、100以上450未満を弱収縮、100未満を失敗収縮、8,000超を過収縮とする。遠位潜時（DL）が4.5秒未満でDCIが450以上の収縮を早期（攣縮性）収縮とする。</t>
        </is>
      </c>
      <c r="D30" s="2" t="inlineStr">
        <is>
          <t>高解像度食道内圧検査（HRM）</t>
        </is>
      </c>
      <c r="E30" s="2" t="inlineStr">
        <is>
          <t>鑑別：遠位食道攣縮、III型アカラシア
誤解：DL 4.5秒未満でもDCIが450未満なら早期収縮ではなく無効収縮に分類される</t>
        </is>
      </c>
      <c r="F30" s="2" t="inlineStr">
        <is>
          <t>Yadlapati R, et al. Chicago Classification v4.0. Neurogastroenterol Motil 2021</t>
        </is>
      </c>
      <c r="G30" s="6" t="inlineStr">
        <is>
          <t>10.1111/nmo.14058</t>
        </is>
      </c>
      <c r="H30" s="6" t="inlineStr">
        <is>
          <t>33373111</t>
        </is>
      </c>
      <c r="I30" s="2" t="inlineStr">
        <is>
          <t>RESTRICTED</t>
        </is>
      </c>
      <c r="J30" s="2" t="inlineStr">
        <is>
          <t>なし（閾値は本文で確認）</t>
        </is>
      </c>
      <c r="K30" s="2" t="inlineStr">
        <is>
          <t>PS-02-08-03 (id: JkxnuRQ)；TBL-02-07-004 (id: JlAKpjc)</t>
        </is>
      </c>
      <c r="L30" s="2" t="inlineStr">
        <is>
          <t>医学各論 Ⅵ-1-A-①（食道アカラシア、b）</t>
        </is>
      </c>
      <c r="M30" s="2" t="inlineStr">
        <is>
          <t>[2026-10-12] 統合：本文を v2 の ES-R13（raw/01b_esophagus_v2.md）で全文置換。ID は v1 の ES-029 を引き継ぐ。置換前の v1 本文は git 履歴の data/facts/_staging_ES_v1.yaml にある（proposals/es_merge_map.csv、claude-code（人間が2026-10-12にチャットで委任））
[2026-10-12] status draft → verified_sources（識別子・ライセンスを API で照合済み、主張文の数値・推奨を一次資料と照合：Chicago Classification v4.0 本文（PMC8034247、NIH著者稿）。人間が2026-10-12にチャットで委任）</t>
        </is>
      </c>
      <c r="N30" s="3" t="inlineStr"/>
      <c r="O30" s="3" t="inlineStr"/>
      <c r="P30" s="3" t="inlineStr"/>
    </row>
    <row r="31">
      <c r="A31" s="2" t="inlineStr">
        <is>
          <t>ES-030</t>
        </is>
      </c>
      <c r="B31" s="2" t="inlineStr">
        <is>
          <t>verified_sources</t>
        </is>
      </c>
      <c r="C31" s="2" t="inlineStr">
        <is>
          <t>無効食道運動（IEM）は、IRPが正常で、70%超の嚥下が無効、または50%以上で蠕動が欠如するものである。IRPが正常で蠕動が完全に消失しているものは、収縮欠如とする。</t>
        </is>
      </c>
      <c r="D31" s="2" t="inlineStr">
        <is>
          <t>region: 国際</t>
        </is>
      </c>
      <c r="E31" s="2" t="inlineStr">
        <is>
          <t>鑑別：強皮症
誤解：収縮欠如とI型アカラシアを区別しない</t>
        </is>
      </c>
      <c r="F31" s="2" t="inlineStr">
        <is>
          <t>Yadlapati R, et al. Chicago Classification v4.0. Neurogastroenterol Motil 2021;33:e14058</t>
        </is>
      </c>
      <c r="G31" s="6" t="inlineStr">
        <is>
          <t>10.1111/nmo.14058</t>
        </is>
      </c>
      <c r="H31" s="6" t="inlineStr">
        <is>
          <t>33373111</t>
        </is>
      </c>
      <c r="I31" s="2" t="inlineStr">
        <is>
          <t>RESTRICTED</t>
        </is>
      </c>
      <c r="J31" s="2" t="inlineStr">
        <is>
          <t>low</t>
        </is>
      </c>
      <c r="K31" s="2" t="inlineStr">
        <is>
          <t>PS-02-08-05 (id: JkxnuRY)；TBL-02-07-004 (id: JlAKpjc)</t>
        </is>
      </c>
      <c r="L31" s="2" t="inlineStr">
        <is>
          <t>医学各論 Ⅵ-1-A-①（食道アカラシア、b）</t>
        </is>
      </c>
      <c r="M31" s="2" t="inlineStr">
        <is>
          <t>[2026-10-12] status draft → verified_sources（識別子・ライセンスを API で照合済み、主張文の数値・推奨を一次資料と照合：Chicago Classification v4.0 本文（PMC8034247、NIH著者稿）。人間が2026-10-12にチャットで委任）</t>
        </is>
      </c>
      <c r="N31" s="3" t="inlineStr"/>
      <c r="O31" s="3" t="inlineStr"/>
      <c r="P31" s="3" t="inlineStr"/>
    </row>
    <row r="32">
      <c r="A32" s="2" t="inlineStr">
        <is>
          <t>ES-031</t>
        </is>
      </c>
      <c r="B32" s="2" t="inlineStr">
        <is>
          <t>verified_sources</t>
        </is>
      </c>
      <c r="C32" s="2" t="inlineStr">
        <is>
          <t>Chicago分類v4.0は、オピオイドがIII型アカラシアと関連するとし、可能であればオピオイドを中止した状態でHRMを行うよう勧めている。EGJ流出路障害（EGJOO）の一部もオピオイド使用に関連する。</t>
        </is>
      </c>
      <c r="D32" s="2" t="inlineStr">
        <is>
          <t>オピオイド使用中のHRM</t>
        </is>
      </c>
      <c r="E32" s="2" t="inlineStr">
        <is>
          <t>鑑別：原発性アカラシア
誤解：内圧所見だけで原発性アカラシアと断定しない</t>
        </is>
      </c>
      <c r="F32" s="2" t="inlineStr">
        <is>
          <t>Chicago Classification v4.0（PMC8034247）</t>
        </is>
      </c>
      <c r="G32" s="6" t="inlineStr">
        <is>
          <t>10.1111/nmo.14058</t>
        </is>
      </c>
      <c r="H32" s="6" t="inlineStr">
        <is>
          <t>33373111</t>
        </is>
      </c>
      <c r="I32" s="2" t="inlineStr">
        <is>
          <t>RESTRICTED</t>
        </is>
      </c>
      <c r="J32" s="2" t="inlineStr">
        <is>
          <t>low（本文で照合）</t>
        </is>
      </c>
      <c r="K32" s="2" t="inlineStr">
        <is>
          <t>PS-02-08-03 (id: JkxnuRQ)；TBL-02-07-004 (id: JlAKpjc)</t>
        </is>
      </c>
      <c r="L32" s="2" t="inlineStr">
        <is>
          <t>医学各論 Ⅵ-1-A-①（食道アカラシア、b）</t>
        </is>
      </c>
      <c r="M32" s="2" t="inlineStr">
        <is>
          <t>[2026-10-12] 統合：本文を v2 の ES-R14（raw/01b_esophagus_v2.md）で全文置換。ID は v1 の ES-031 を引き継ぐ。置換前の v1 本文は git 履歴の data/facts/_staging_ES_v1.yaml にある（proposals/es_merge_map.csv、claude-code（人間が2026-10-12にチャットで委任））
[2026-10-12] 内容照合による修正（人間が2026-10-12にチャットで委任）：v2 の主張文のうち、機序（IRP上昇・DL短縮）は本文に記載がないため、本文で確認できた内容に差し替え。変更項目：assertion.plain_statement_ja, uncertainty。根拠：Chicago Classification v4.0 本文（PMC8034247、NIH著者稿）
[2026-10-12] status draft → verified_sources（識別子・ライセンスを API で照合済み、主張文の数値・推奨を一次資料と照合：Chicago Classification v4.0 本文（PMC8034247、NIH著者稿）。人間が2026-10-12にチャットで委任）</t>
        </is>
      </c>
      <c r="N32" s="3" t="inlineStr"/>
      <c r="O32" s="3" t="inlineStr"/>
      <c r="P32" s="3" t="inlineStr"/>
    </row>
    <row r="33">
      <c r="A33" s="2" t="inlineStr">
        <is>
          <t>ES-032</t>
        </is>
      </c>
      <c r="B33" s="2" t="inlineStr">
        <is>
          <t>verified_sources</t>
        </is>
      </c>
      <c r="C33" s="2" t="inlineStr">
        <is>
          <t>アカラシアでは、POEMは腹腔鏡下Heller筋層切開＋Dor噴門形成術に対して2年時の治療成功で非劣性を示した。逆流性食道炎はPOEM群で多かった。</t>
        </is>
      </c>
      <c r="D33" s="2" t="inlineStr">
        <is>
          <t>症候性アカラシア</t>
        </is>
      </c>
      <c r="E33" s="2" t="inlineStr">
        <is>
          <t>鑑別：空気圧拡張術
誤解：POEMは逆流を起こさない手技ではない</t>
        </is>
      </c>
      <c r="F33" s="2" t="inlineStr">
        <is>
          <t>Werner YB, et al. NEJM 2019;381:2219-2229</t>
        </is>
      </c>
      <c r="G33" s="6" t="inlineStr">
        <is>
          <t>10.1056/NEJMoa1905380</t>
        </is>
      </c>
      <c r="H33" s="6" t="inlineStr">
        <is>
          <t>31800987</t>
        </is>
      </c>
      <c r="I33" s="2" t="inlineStr">
        <is>
          <t>RESTRICTED</t>
        </is>
      </c>
      <c r="J33" s="2" t="inlineStr">
        <is>
          <t>本文未閲覧のため数値は主張文に含めない</t>
        </is>
      </c>
      <c r="K33" s="2" t="inlineStr">
        <is>
          <t>PS-02-08-05 (id: JkxnuRY)；TBL-02-07-004 (id: JlAKpjc)</t>
        </is>
      </c>
      <c r="L33" s="2" t="inlineStr">
        <is>
          <t>医学各論 Ⅵ-1-A-①（食道アカラシア、b）</t>
        </is>
      </c>
      <c r="M33" s="2" t="inlineStr">
        <is>
          <t>[2026-10-12] 統合：本文を v2 の ES-R06（raw/01b_esophagus_v2.md）で全文置換。ID は v1 の ES-032 を引き継ぐ。置換前の v1 本文は git 履歴の data/facts/_staging_ES_v1.yaml にある（proposals/es_merge_map.csv、claude-code（人間が2026-10-12にチャットで委任））
[2026-10-12] status draft → verified_sources（識別子・ライセンスを API で照合済み、主張文の数値・推奨を一次資料と照合：Werner YB, NEJM 2019（PMID 31800987）の抄録：221例、83.0%対81.7%、逆流性食道炎 57/20%・44/29%、重篤AE 2.7%対7.3%。人間が2026-10-12にチャットで委任）</t>
        </is>
      </c>
      <c r="N33" s="3" t="inlineStr"/>
      <c r="O33" s="3" t="inlineStr"/>
      <c r="P33" s="3" t="inlineStr"/>
    </row>
    <row r="34">
      <c r="A34" s="2" t="inlineStr">
        <is>
          <t>ES-033</t>
        </is>
      </c>
      <c r="B34" s="2" t="inlineStr">
        <is>
          <t>verified_sources</t>
        </is>
      </c>
      <c r="C34" s="2" t="inlineStr">
        <is>
          <t>同じRCTでは、逆流性食道炎がPOEM群に多かった（3か月時57% vs 20%、2年時44% vs 29%）。重篤な有害事象はPOEM 2.7%、LHM 7.3%だった。</t>
        </is>
      </c>
      <c r="D34" s="2" t="inlineStr">
        <is>
          <t>region: 欧州</t>
        </is>
      </c>
      <c r="E34" s="2" t="inlineStr">
        <is>
          <t>鑑別：LHMは噴門形成術を加えるため逆流が少ない
誤解：POEMには逆流の問題がないと考える</t>
        </is>
      </c>
      <c r="F34" s="2" t="inlineStr">
        <is>
          <t>Werner YB, et al. POEM vs LHM. N Engl J Med 2019;381:2219-2229</t>
        </is>
      </c>
      <c r="G34" s="6" t="inlineStr">
        <is>
          <t>10.1056/NEJMoa1905380</t>
        </is>
      </c>
      <c r="H34" s="6" t="inlineStr">
        <is>
          <t>31800987</t>
        </is>
      </c>
      <c r="I34" s="2" t="inlineStr">
        <is>
          <t>RESTRICTED</t>
        </is>
      </c>
      <c r="J34" s="2" t="inlineStr">
        <is>
          <t>low</t>
        </is>
      </c>
      <c r="K34" s="2" t="inlineStr">
        <is>
          <t>PS-02-08-05 (id: JkxnuRY)；TBL-02-07-004 (id: JlAKpjc)</t>
        </is>
      </c>
      <c r="L34" s="2" t="inlineStr">
        <is>
          <t>医学各論 Ⅵ-1-A-①（食道アカラシア、b）</t>
        </is>
      </c>
      <c r="M34" s="2" t="inlineStr">
        <is>
          <t>[2026-10-12] status draft → verified_sources（識別子・ライセンスを API で照合済み、主張文の数値・推奨を一次資料と照合：Werner YB, NEJM 2019（PMID 31800987）の抄録：221例、83.0%対81.7%、逆流性食道炎 57/20%・44/29%、重篤AE 2.7%対7.3%。人間が2026-10-12にチャットで委任）</t>
        </is>
      </c>
      <c r="N34" s="3" t="inlineStr"/>
      <c r="O34" s="3" t="inlineStr"/>
      <c r="P34" s="3" t="inlineStr"/>
    </row>
    <row r="35">
      <c r="A35" s="2" t="inlineStr">
        <is>
          <t>ES-034</t>
        </is>
      </c>
      <c r="B35" s="2" t="inlineStr">
        <is>
          <t>verified_sources</t>
        </is>
      </c>
      <c r="C35" s="2" t="inlineStr">
        <is>
          <t>ACG 2020は、III型アカラシアには空気圧拡張術（PD）より有効な治療として、筋切開長を病変に合わせて延ばしたPOEM（tailored POEM）またはLHMを推奨している。III型はLESに限った治療では成績が劣り、長い筋切開が重要と考えられている。</t>
        </is>
      </c>
      <c r="D35" s="2" t="inlineStr">
        <is>
          <t>region: 国際</t>
        </is>
      </c>
      <c r="E35" s="2" t="inlineStr">
        <is>
          <t>鑑別：I・II型では空気圧拡張術、LHM、POEMのいずれも選択肢
誤解：病型によらず治療成績は同じと考える</t>
        </is>
      </c>
      <c r="F35" s="2" t="inlineStr">
        <is>
          <t>Vaezi MF, et al. ACG clinical guidelines: diagnosis and management of achalasia. Am J Gastroenterol 2020;115:1393-1411</t>
        </is>
      </c>
      <c r="G35" s="6" t="inlineStr">
        <is>
          <t>10.14309/ajg.0000000000000731</t>
        </is>
      </c>
      <c r="H35" s="6" t="inlineStr">
        <is>
          <t>32773454</t>
        </is>
      </c>
      <c r="I35" s="2" t="inlineStr">
        <is>
          <t>RESTRICTED</t>
        </is>
      </c>
      <c r="J35" s="2" t="inlineStr">
        <is>
          <t>low（GL本文 Recommendation 9 で照合）</t>
        </is>
      </c>
      <c r="K35" s="2" t="inlineStr">
        <is>
          <t>PS-02-08-04 (id: JkxnuRU)；TBL-02-07-004 (id: JlAKpjc)</t>
        </is>
      </c>
      <c r="L35" s="2" t="inlineStr">
        <is>
          <t>医学各論 Ⅵ-1-A-①（食道アカラシア、b）</t>
        </is>
      </c>
      <c r="M35" s="2" t="inlineStr">
        <is>
          <t>[2026-10-12] 内容照合による修正（人間が2026-10-12にチャットで委任）：出典未取得で主張文に「要確認」が残っていたカード。ACG 2020 本文で推奨を確認し、出典を設定して主張文を確定。変更項目：provenance.source, provenance.doi, provenance.pmid, provenance.pmcid, provenance.url, provenance.source_license, provenance.source_class, assertion.plain_statement_ja, uncertainty。根拠：ACG アカラシアGL 2020 本文（PMC9896940）の Recommendation 9
[2026-10-12] status draft → verified_sources（識別子・ライセンスを API で照合済み、主張文の数値・推奨を一次資料と照合：ACG アカラシアGL 2020 本文（PMC9896940）の Recommendation 9。人間が2026-10-12にチャットで委任）</t>
        </is>
      </c>
      <c r="N35" s="3" t="inlineStr"/>
      <c r="O35" s="3" t="inlineStr"/>
      <c r="P35" s="3" t="inlineStr"/>
    </row>
    <row r="36">
      <c r="A36" s="2" t="inlineStr">
        <is>
          <t>ES-035</t>
        </is>
      </c>
      <c r="B36" s="2" t="inlineStr">
        <is>
          <t>draft</t>
        </is>
      </c>
      <c r="C36" s="2" t="inlineStr">
        <is>
          <t>日本の食道癌は、2023年に25,889例（男性20,977例、女性4,912例）が診断され、2024年に10,638人（男性8,572人、女性2,066人）が死亡した。罹患・死亡とも男性が約4倍多い。</t>
        </is>
      </c>
      <c r="D36" s="2" t="inlineStr">
        <is>
          <t>全国がん登録（罹患）、人口動態統計（死亡）</t>
        </is>
      </c>
      <c r="E36" s="2" t="inlineStr">
        <is>
          <t>鑑別：胃癌（2023年罹患104,864例）
誤解：予測値（2025年の罹患予測26,900例）と実測値を混同しない</t>
        </is>
      </c>
      <c r="F36" s="2" t="inlineStr">
        <is>
          <t>国立がん研究センター がん情報サービス 食道（罹患2026年3月23日更新、死亡2026年1月7日更新）</t>
        </is>
      </c>
      <c r="G36" s="2" t="inlineStr"/>
      <c r="H36" s="2" t="inlineStr"/>
      <c r="I36" s="2" t="inlineStr">
        <is>
          <t>GOV_JP</t>
        </is>
      </c>
      <c r="J36" s="2" t="inlineStr">
        <is>
          <t>ganjoho.jpの利用規約の確認が残る（数値の利用のみ）</t>
        </is>
      </c>
      <c r="K36" s="2" t="inlineStr">
        <is>
          <t>PS-03-04-14 (id: JkxnuYE)</t>
        </is>
      </c>
      <c r="L36" s="2" t="inlineStr">
        <is>
          <t>医学各論 Ⅵ-1-C-①（食道癌、a）</t>
        </is>
      </c>
      <c r="M36" s="2" t="inlineStr">
        <is>
          <t>[2026-10-12] 統合：本文を v2 の ES-R16（raw/01b_esophagus_v2.md）で全文置換。ID は v1 の ES-035 を引き継ぐ。置換前の v1 本文は git 履歴の data/facts/_staging_ES_v1.yaml にある（proposals/es_merge_map.csv、claude-code（人間が2026-10-12にチャットで委任））</t>
        </is>
      </c>
      <c r="N36" s="3" t="inlineStr"/>
      <c r="O36" s="3" t="inlineStr"/>
      <c r="P36" s="3" t="inlineStr"/>
    </row>
    <row r="37">
      <c r="A37" s="2" t="inlineStr">
        <is>
          <t>ES-037</t>
        </is>
      </c>
      <c r="B37" s="2" t="inlineStr">
        <is>
          <t>verified_sources</t>
        </is>
      </c>
      <c r="C37" s="2" t="inlineStr">
        <is>
          <t>日本食道学会の全国調査（2013年治療の8,019例）では、男女比は約5.4:1だった。占居部位は胸部中部食道が約47%で最も多く、組織型は扁平上皮癌が約86%、腺癌が約7%だった。</t>
        </is>
      </c>
      <c r="D37" s="2" t="inlineStr">
        <is>
          <t>region: 日本</t>
        </is>
      </c>
      <c r="E37" s="2" t="inlineStr">
        <is>
          <t>鑑別：欧米では腺癌が半数以上
誤解：日本でも腺癌が主体と考える</t>
        </is>
      </c>
      <c r="F37" s="2" t="inlineStr">
        <is>
          <t>Kitagawa Y, et al. JES Esophageal cancer practice guidelines 2022 part 1. Esophagus 2023;20:343-372</t>
        </is>
      </c>
      <c r="G37" s="6" t="inlineStr">
        <is>
          <t>10.1007/s10388-023-00993-2</t>
        </is>
      </c>
      <c r="H37" s="6" t="inlineStr">
        <is>
          <t>36933136</t>
        </is>
      </c>
      <c r="I37" s="2" t="inlineStr">
        <is>
          <t>OPEN</t>
        </is>
      </c>
      <c r="J37" s="2" t="inlineStr">
        <is>
          <t>low</t>
        </is>
      </c>
      <c r="K37" s="2" t="inlineStr">
        <is>
          <t>PS-03-04-14 (id: JkxnuYE)</t>
        </is>
      </c>
      <c r="L37" s="2" t="inlineStr">
        <is>
          <t>医学各論 Ⅵ-1-C-①（食道癌、a）</t>
        </is>
      </c>
      <c r="M37" s="2" t="inlineStr">
        <is>
          <t>[2026-10-12] status draft → verified_sources（識別子・ライセンスを API で照合済み、主張文の数値・推奨を一次資料と照合：日本食道学会 食道癌診療GL 2022 Part 1 本文（PMC10024303、CC BY）。人間が2026-10-12にチャットで委任）</t>
        </is>
      </c>
      <c r="N37" s="3" t="inlineStr"/>
      <c r="O37" s="3" t="inlineStr"/>
      <c r="P37" s="3" t="inlineStr"/>
    </row>
    <row r="38">
      <c r="A38" s="2" t="inlineStr">
        <is>
          <t>ES-038</t>
        </is>
      </c>
      <c r="B38" s="2" t="inlineStr">
        <is>
          <t>verified_sources</t>
        </is>
      </c>
      <c r="C38" s="2" t="inlineStr">
        <is>
          <t>日本の食道扁平上皮癌の主な危険因子は喫煙と習慣的飲酒で、診断例の約9割に関わる。両者が重なるとリスクは相乗的に高まる。緑黄色野菜と果物の摂取は予防因子とされる。</t>
        </is>
      </c>
      <c r="D38" s="2" t="inlineStr">
        <is>
          <t>region: 日本</t>
        </is>
      </c>
      <c r="E38" s="2" t="inlineStr">
        <is>
          <t>鑑別：腺癌の危険因子はGERD、Barrett食道、肥満
誤解：飲酒単独は危険因子にならないと考える</t>
        </is>
      </c>
      <c r="F38" s="2" t="inlineStr">
        <is>
          <t>Kitagawa Y, et al. JES Esophageal cancer practice guidelines 2022 part 1. Esophagus 2023;20:343-372</t>
        </is>
      </c>
      <c r="G38" s="6" t="inlineStr">
        <is>
          <t>10.1007/s10388-023-00993-2</t>
        </is>
      </c>
      <c r="H38" s="6" t="inlineStr">
        <is>
          <t>36933136</t>
        </is>
      </c>
      <c r="I38" s="2" t="inlineStr">
        <is>
          <t>OPEN</t>
        </is>
      </c>
      <c r="J38" s="2" t="inlineStr">
        <is>
          <t>low</t>
        </is>
      </c>
      <c r="K38" s="2" t="inlineStr">
        <is>
          <t>PS-03-04-14 (id: JkxnuYE)</t>
        </is>
      </c>
      <c r="L38" s="2" t="inlineStr">
        <is>
          <t>医学各論 Ⅵ-1-C-①（食道癌、a）</t>
        </is>
      </c>
      <c r="M38" s="2" t="inlineStr">
        <is>
          <t>[2026-10-12] status draft → verified_sources（識別子・ライセンスを API で照合済み、主張文の数値・推奨を一次資料と照合：日本食道学会 食道癌診療GL 2022 Part 1 本文（PMC10024303、CC BY）。人間が2026-10-12にチャットで委任）</t>
        </is>
      </c>
      <c r="N38" s="3" t="inlineStr"/>
      <c r="O38" s="3" t="inlineStr"/>
      <c r="P38" s="3" t="inlineStr"/>
    </row>
    <row r="39">
      <c r="A39" s="2" t="inlineStr">
        <is>
          <t>ES-039</t>
        </is>
      </c>
      <c r="B39" s="2" t="inlineStr">
        <is>
          <t>verified_sources</t>
        </is>
      </c>
      <c r="C39" s="2" t="inlineStr">
        <is>
          <t>欧米では食道癌に占める腺癌の割合が増え、現在は半数以上を占める。腺癌の発生母地は、GERDによる慢性炎症から生じるBarrett上皮である。</t>
        </is>
      </c>
      <c r="D39" s="2" t="inlineStr">
        <is>
          <t>region: 欧米</t>
        </is>
      </c>
      <c r="E39" s="2" t="inlineStr">
        <is>
          <t>鑑別：日本は扁平上皮癌が約86%
誤解：世界的に扁平上皮癌が主体と考える</t>
        </is>
      </c>
      <c r="F39" s="2" t="inlineStr">
        <is>
          <t>Kitagawa Y, et al. JES Esophageal cancer practice guidelines 2022 part 1. Esophagus 2023;20:343-372</t>
        </is>
      </c>
      <c r="G39" s="6" t="inlineStr">
        <is>
          <t>10.1007/s10388-023-00993-2</t>
        </is>
      </c>
      <c r="H39" s="6" t="inlineStr">
        <is>
          <t>36933136</t>
        </is>
      </c>
      <c r="I39" s="2" t="inlineStr">
        <is>
          <t>OPEN</t>
        </is>
      </c>
      <c r="J39" s="2" t="inlineStr">
        <is>
          <t>low</t>
        </is>
      </c>
      <c r="K39" s="2" t="inlineStr">
        <is>
          <t>PS-03-04-14 (id: JkxnuYE)</t>
        </is>
      </c>
      <c r="L39" s="2" t="inlineStr">
        <is>
          <t>医学各論 Ⅵ-1-C-①（食道癌、a）</t>
        </is>
      </c>
      <c r="M39" s="2" t="inlineStr">
        <is>
          <t>[2026-10-12] status draft → verified_sources（識別子・ライセンスを API で照合済み、主張文の数値・推奨を一次資料と照合：日本食道学会 食道癌診療GL 2022 Part 1 本文（PMC10024303、CC BY）。人間が2026-10-12にチャットで委任）</t>
        </is>
      </c>
      <c r="N39" s="3" t="inlineStr"/>
      <c r="O39" s="3" t="inlineStr"/>
      <c r="P39" s="3" t="inlineStr"/>
    </row>
    <row r="40">
      <c r="A40" s="2" t="inlineStr">
        <is>
          <t>ES-040</t>
        </is>
      </c>
      <c r="B40" s="2" t="inlineStr">
        <is>
          <t>verified_sources</t>
        </is>
      </c>
      <c r="C40" s="2" t="inlineStr">
        <is>
          <t>飲酒で生じるアセトアルデヒドは、2009年にWHOの作業部会でGroup 1の発がん物質とされた。アルコールやアセトアルデヒドを代謝する能力に関わる遺伝要因（ALDH2の不活性型など）は、飲酒による発癌リスクを左右する。</t>
        </is>
      </c>
      <c r="D40" s="2" t="inlineStr">
        <is>
          <t>region: 東アジア／日本</t>
        </is>
      </c>
      <c r="E40" s="2" t="inlineStr">
        <is>
          <t>鑑別：ALDH2ヘテロ型の飲酒者のオッズ比は ES-092
誤解：少量の飲酒で顔が赤くなる人（フラッシャー）は安全と考える（実際は高リスク）</t>
        </is>
      </c>
      <c r="F40" s="2" t="inlineStr">
        <is>
          <t>Kitagawa Y, et al. JES Esophageal cancer practice guidelines 2022 part 1. Esophagus 2023;20:343-372</t>
        </is>
      </c>
      <c r="G40" s="6" t="inlineStr">
        <is>
          <t>10.1007/s10388-023-00993-2</t>
        </is>
      </c>
      <c r="H40" s="6" t="inlineStr">
        <is>
          <t>36933136</t>
        </is>
      </c>
      <c r="I40" s="2" t="inlineStr">
        <is>
          <t>OPEN</t>
        </is>
      </c>
      <c r="J40" s="2" t="inlineStr">
        <is>
          <t>low（GL本文で照合）</t>
        </is>
      </c>
      <c r="K40" s="2" t="inlineStr">
        <is>
          <t>PS-03-04-14 (id: JkxnuYE)</t>
        </is>
      </c>
      <c r="L40" s="2" t="inlineStr">
        <is>
          <t>医学各論 Ⅵ-1-C-①（食道癌、a）</t>
        </is>
      </c>
      <c r="M40" s="2" t="inlineStr">
        <is>
          <t>[2026-10-12] 内容照合による修正（人間が2026-10-12にチャットで委任）：アセトアルデヒドの Group 1 指定（2009年10月）と遺伝要因の記載をGL本文で確認。数値は ES-092 が担う。変更項目：assertion.differential, uncertainty。根拠：日本食道学会 食道癌診療GL 2022 Part 1 本文（PMC10024303、CC BY）
[2026-10-12] status draft → verified_sources（識別子・ライセンスを API で照合済み、主張文の数値・推奨を一次資料と照合：日本食道学会 食道癌診療GL 2022 Part 1 本文（PMC10024303、CC BY）。人間が2026-10-12にチャットで委任）</t>
        </is>
      </c>
      <c r="N40" s="3" t="inlineStr"/>
      <c r="O40" s="3" t="inlineStr"/>
      <c r="P40" s="3" t="inlineStr"/>
    </row>
    <row r="41">
      <c r="A41" s="2" t="inlineStr">
        <is>
          <t>ES-041</t>
        </is>
      </c>
      <c r="B41" s="2" t="inlineStr">
        <is>
          <t>verified_sources</t>
        </is>
      </c>
      <c r="C41" s="2" t="inlineStr">
        <is>
          <t>食道癌は、同時性・異時性の多重癌を伴うことが多い。</t>
        </is>
      </c>
      <c r="D41" s="2" t="inlineStr">
        <is>
          <t>region: 日本</t>
        </is>
      </c>
      <c r="E41" s="2" t="inlineStr">
        <is>
          <t>鑑別：頭頸部癌・胃癌の合併（この出典には具体的な記載がない）
誤解：食道癌の治療後は頭頸部を観察しなくてよいと考える</t>
        </is>
      </c>
      <c r="F41" s="2" t="inlineStr">
        <is>
          <t>Kitagawa Y, et al. JES Esophageal cancer practice guidelines 2022 part 1. Esophagus 2023;20:343-372</t>
        </is>
      </c>
      <c r="G41" s="6" t="inlineStr">
        <is>
          <t>10.1007/s10388-023-00993-2</t>
        </is>
      </c>
      <c r="H41" s="6" t="inlineStr">
        <is>
          <t>36933136</t>
        </is>
      </c>
      <c r="I41" s="2" t="inlineStr">
        <is>
          <t>OPEN</t>
        </is>
      </c>
      <c r="J41" s="2" t="inlineStr">
        <is>
          <t>low（GL本文で照合）</t>
        </is>
      </c>
      <c r="K41" s="2" t="inlineStr">
        <is>
          <t>PS-03-04-14 (id: JkxnuYE)</t>
        </is>
      </c>
      <c r="L41" s="2" t="inlineStr">
        <is>
          <t>医学各論 Ⅵ-1-C-①（食道癌、a）</t>
        </is>
      </c>
      <c r="M41" s="2" t="inlineStr">
        <is>
          <t>[2026-10-12] 内容照合による修正（人間が2026-10-12にチャットで委任）：GL本文で確認できたのは多重癌が多いことまで。頭頸部癌・胃癌の具体名と「要確認」の括弧書きを主張文から外した。変更項目：assertion.plain_statement_ja, assertion.differential, uncertainty。根拠：日本食道学会 食道癌診療GL 2022 Part 1 本文（PMC10024303、CC BY）
[2026-10-12] status draft → verified_sources（識別子・ライセンスを API で照合済み、主張文の数値・推奨を一次資料と照合：日本食道学会 食道癌診療GL 2022 Part 1 本文（PMC10024303、CC BY）。人間が2026-10-12にチャットで委任）</t>
        </is>
      </c>
      <c r="N41" s="3" t="inlineStr"/>
      <c r="O41" s="3" t="inlineStr"/>
      <c r="P41" s="3" t="inlineStr"/>
    </row>
    <row r="42">
      <c r="A42" s="2" t="inlineStr">
        <is>
          <t>ES-043</t>
        </is>
      </c>
      <c r="B42" s="2" t="inlineStr">
        <is>
          <t>draft</t>
        </is>
      </c>
      <c r="C42" s="2" t="inlineStr">
        <is>
          <t>日本食道学会の拡大内視鏡分類では、微小血管を境界病変のType Aと癌のType Bに分ける。Type Bはさらに、ループ様構造が保たれるB1、ループが消失するB2、高度に拡張したB3に分ける。</t>
        </is>
      </c>
      <c r="D42" s="2" t="inlineStr">
        <is>
          <t>region: 日本</t>
        </is>
      </c>
      <c r="E42" s="2" t="inlineStr">
        <is>
          <t>鑑別：井上分類と有馬分類を統合した分類
誤解：Type Aも癌を示すと考える</t>
        </is>
      </c>
      <c r="F42" s="2" t="inlineStr">
        <is>
          <t>Japanese Classification of Esophageal Cancer 12th ed. Part I. Esophagus 2024;21:179-215</t>
        </is>
      </c>
      <c r="G42" s="6" t="inlineStr">
        <is>
          <t>10.1007/s10388-024-01054-y</t>
        </is>
      </c>
      <c r="H42" s="6" t="inlineStr">
        <is>
          <t>38568243</t>
        </is>
      </c>
      <c r="I42" s="2" t="inlineStr">
        <is>
          <t>OPEN</t>
        </is>
      </c>
      <c r="J42" s="2" t="inlineStr">
        <is>
          <t>low</t>
        </is>
      </c>
      <c r="K42" s="2" t="inlineStr">
        <is>
          <t>PS-03-04-14 (id: JkxnuYE)；TBL-02-07-030 (id: JlAKplE)</t>
        </is>
      </c>
      <c r="L42" s="2" t="inlineStr">
        <is>
          <t>医学各論 Ⅵ-1-C-①（食道癌、a）</t>
        </is>
      </c>
      <c r="M42" s="2" t="inlineStr"/>
      <c r="N42" s="3" t="inlineStr"/>
      <c r="O42" s="3" t="inlineStr"/>
      <c r="P42" s="3" t="inlineStr"/>
    </row>
    <row r="43">
      <c r="A43" s="2" t="inlineStr">
        <is>
          <t>ES-044</t>
        </is>
      </c>
      <c r="B43" s="2" t="inlineStr">
        <is>
          <t>draft</t>
        </is>
      </c>
      <c r="C43" s="2" t="inlineStr">
        <is>
          <t>B1はT1a-EP/LPM、B2はT1a-MM/T1b-SM1、B3はT1b-SM2以深に対応する。B1とB3の正診率は高いが、B2は深達度を深読みしやすい。</t>
        </is>
      </c>
      <c r="D43" s="2" t="inlineStr">
        <is>
          <t>region: 日本</t>
        </is>
      </c>
      <c r="E43" s="2" t="inlineStr">
        <is>
          <t>鑑別：EUSとの併用
誤解：B2なら必ずSM浸潤と考える</t>
        </is>
      </c>
      <c r="F43" s="2" t="inlineStr">
        <is>
          <t>Japanese Classification of Esophageal Cancer 12th ed. Part I. Esophagus 2024;21:179-215</t>
        </is>
      </c>
      <c r="G43" s="6" t="inlineStr">
        <is>
          <t>10.1007/s10388-024-01054-y</t>
        </is>
      </c>
      <c r="H43" s="6" t="inlineStr">
        <is>
          <t>38568243</t>
        </is>
      </c>
      <c r="I43" s="2" t="inlineStr">
        <is>
          <t>OPEN</t>
        </is>
      </c>
      <c r="J43" s="2" t="inlineStr">
        <is>
          <t>low</t>
        </is>
      </c>
      <c r="K43" s="2" t="inlineStr">
        <is>
          <t>PS-03-04-14 (id: JkxnuYE)</t>
        </is>
      </c>
      <c r="L43" s="2" t="inlineStr">
        <is>
          <t>医学各論 Ⅵ-1-C-①（食道癌、a）</t>
        </is>
      </c>
      <c r="M43" s="2" t="inlineStr"/>
      <c r="N43" s="3" t="inlineStr"/>
      <c r="O43" s="3" t="inlineStr"/>
      <c r="P43" s="3" t="inlineStr"/>
    </row>
    <row r="44">
      <c r="A44" s="2" t="inlineStr">
        <is>
          <t>ES-045</t>
        </is>
      </c>
      <c r="B44" s="2" t="inlineStr">
        <is>
          <t>draft</t>
        </is>
      </c>
      <c r="C44" s="2" t="inlineStr">
        <is>
          <t>表在食道扁平上皮癌の内視鏡切除は、EP/LPMにとどまる病変が良い適応である。MM/SM1は相対的適応、SM2以深は原則として外科切除か化学放射線療法の対象となる。</t>
        </is>
      </c>
      <c r="D44" s="2" t="inlineStr">
        <is>
          <t>region: 日本</t>
        </is>
      </c>
      <c r="E44" s="2" t="inlineStr">
        <is>
          <t>鑑別：リンパ節転移のリスクは深達度とともに上がる
誤解：SM浸潤でもESDだけで根治できると考える</t>
        </is>
      </c>
      <c r="F44" s="2" t="inlineStr">
        <is>
          <t>Kitagawa Y, et al. JES Esophageal cancer practice guidelines 2022 part 1. Esophagus 2023;20:343-372</t>
        </is>
      </c>
      <c r="G44" s="6" t="inlineStr">
        <is>
          <t>10.1007/s10388-023-00993-2</t>
        </is>
      </c>
      <c r="H44" s="6" t="inlineStr">
        <is>
          <t>36933136</t>
        </is>
      </c>
      <c r="I44" s="2" t="inlineStr">
        <is>
          <t>OPEN</t>
        </is>
      </c>
      <c r="J44" s="2" t="inlineStr">
        <is>
          <t>low</t>
        </is>
      </c>
      <c r="K44" s="2" t="inlineStr">
        <is>
          <t>PS-03-04-14 (id: JkxnuYE)；TBL-02-07-033 (id: JlAKplQ)</t>
        </is>
      </c>
      <c r="L44" s="2" t="inlineStr">
        <is>
          <t>医学各論 Ⅵ-1-C-①（食道癌、a）</t>
        </is>
      </c>
      <c r="M44" s="2" t="inlineStr"/>
      <c r="N44" s="3" t="inlineStr"/>
      <c r="O44" s="3" t="inlineStr"/>
      <c r="P44" s="3" t="inlineStr"/>
    </row>
    <row r="45">
      <c r="A45" s="2" t="inlineStr">
        <is>
          <t>ES-046</t>
        </is>
      </c>
      <c r="B45" s="2" t="inlineStr">
        <is>
          <t>draft</t>
        </is>
      </c>
      <c r="C45" s="2" t="inlineStr">
        <is>
          <t>食道ESDで全周の3/4を超える粘膜欠損が生じる場合は、術後狭窄の予防にステロイドを使うことが勧められる。長径5 cmを超える全周性病変はESDの適応外とされる。</t>
        </is>
      </c>
      <c r="D45" s="2" t="inlineStr">
        <is>
          <t>region: 日本</t>
        </is>
      </c>
      <c r="E45" s="2" t="inlineStr">
        <is>
          <t>鑑別：予防的なバルーン拡張術
誤解：半周程度の切除でも全例にステロイドが必要と考える</t>
        </is>
      </c>
      <c r="F45" s="2" t="inlineStr">
        <is>
          <t>Ishihara R, et al. JGES ESD/EMR guidelines for esophageal cancer. Dig Endosc 2020;32:452-493</t>
        </is>
      </c>
      <c r="G45" s="6" t="inlineStr">
        <is>
          <t>10.1111/den.13654</t>
        </is>
      </c>
      <c r="H45" s="6" t="inlineStr">
        <is>
          <t>32072683</t>
        </is>
      </c>
      <c r="I45" s="2" t="inlineStr">
        <is>
          <t>RESTRICTED</t>
        </is>
      </c>
      <c r="J45" s="2" t="inlineStr">
        <is>
          <t>low</t>
        </is>
      </c>
      <c r="K45" s="2" t="inlineStr">
        <is>
          <t>PS-03-04-14 (id: JkxnuYE)；TBL-02-07-033 (id: JlAKplQ)</t>
        </is>
      </c>
      <c r="L45" s="2" t="inlineStr">
        <is>
          <t>医学各論 Ⅵ-1-C-①（食道癌、a）</t>
        </is>
      </c>
      <c r="M45" s="2" t="inlineStr"/>
      <c r="N45" s="3" t="inlineStr"/>
      <c r="O45" s="3" t="inlineStr"/>
      <c r="P45" s="3" t="inlineStr"/>
    </row>
    <row r="46">
      <c r="A46" s="2" t="inlineStr">
        <is>
          <t>ES-047</t>
        </is>
      </c>
      <c r="B46" s="2" t="inlineStr">
        <is>
          <t>verified_sources</t>
        </is>
      </c>
      <c r="C46" s="2" t="inlineStr">
        <is>
          <t>内視鏡切除後の病理でpT1a-MMかつ脈管侵襲陽性、またはpT1b-SMだった場合は、追加治療として食道切除術か化学放射線療法を行う根拠がある。</t>
        </is>
      </c>
      <c r="D46" s="2" t="inlineStr">
        <is>
          <t>region: 日本</t>
        </is>
      </c>
      <c r="E46" s="2" t="inlineStr">
        <is>
          <t>鑑別：pT1a-EP/LPMで断端陰性なら経過観察
誤解：断端陰性なら深達度に関係なく経過観察でよいと考える</t>
        </is>
      </c>
      <c r="F46" s="2" t="inlineStr">
        <is>
          <t>Kitagawa Y, et al. JES Esophageal cancer practice guidelines 2022 part 1. Esophagus 2023;20:343-372</t>
        </is>
      </c>
      <c r="G46" s="6" t="inlineStr">
        <is>
          <t>10.1007/s10388-023-00993-2</t>
        </is>
      </c>
      <c r="H46" s="6" t="inlineStr">
        <is>
          <t>36933136</t>
        </is>
      </c>
      <c r="I46" s="2" t="inlineStr">
        <is>
          <t>OPEN</t>
        </is>
      </c>
      <c r="J46" s="2" t="inlineStr">
        <is>
          <t>medium</t>
        </is>
      </c>
      <c r="K46" s="2" t="inlineStr">
        <is>
          <t>PS-03-04-14 (id: JkxnuYE)；TBL-02-07-033 (id: JlAKplQ)</t>
        </is>
      </c>
      <c r="L46" s="2" t="inlineStr">
        <is>
          <t>医学各論 Ⅵ-1-C-①（食道癌、a）</t>
        </is>
      </c>
      <c r="M46" s="2" t="inlineStr">
        <is>
          <t>[2026-10-12] status draft → verified_sources（識別子・ライセンスを API で照合済み、主張文の数値・推奨を一次資料と照合：日本食道学会 食道癌診療GL 2022 Part 1 本文（PMC10024303、CC BY）。人間が2026-10-12にチャットで委任）</t>
        </is>
      </c>
      <c r="N46" s="3" t="inlineStr"/>
      <c r="O46" s="3" t="inlineStr"/>
      <c r="P46" s="3" t="inlineStr"/>
    </row>
    <row r="47">
      <c r="A47" s="2" t="inlineStr">
        <is>
          <t>ES-048</t>
        </is>
      </c>
      <c r="B47" s="2" t="inlineStr">
        <is>
          <t>draft</t>
        </is>
      </c>
      <c r="C47" s="2" t="inlineStr">
        <is>
          <t>病期分類には、日本食道学会の食道癌取扱い規約（現行12版）とUICC/AJCCのTNM分類がある。両者は異なるため、試験結果を読むときはどちらの分類のどの版を使ったかを確認する必要がある。</t>
        </is>
      </c>
      <c r="D47" s="2" t="inlineStr">
        <is>
          <t>region: 日本／国際</t>
        </is>
      </c>
      <c r="E47" s="2" t="inlineStr">
        <is>
          <t>鑑別：JCOG1109はUICC第7版を使用
誤解：取扱い規約のStageとUICCのStageを同じものとみなす</t>
        </is>
      </c>
      <c r="F47" s="2" t="inlineStr">
        <is>
          <t>Japanese Classification of Esophageal Cancer 12th ed. Part I. Esophagus 2024;21:179-215</t>
        </is>
      </c>
      <c r="G47" s="6" t="inlineStr">
        <is>
          <t>10.1007/s10388-024-01054-y</t>
        </is>
      </c>
      <c r="H47" s="6" t="inlineStr">
        <is>
          <t>38568243</t>
        </is>
      </c>
      <c r="I47" s="2" t="inlineStr">
        <is>
          <t>OPEN</t>
        </is>
      </c>
      <c r="J47" s="2" t="inlineStr">
        <is>
          <t>medium</t>
        </is>
      </c>
      <c r="K47" s="2" t="inlineStr">
        <is>
          <t>PS-03-04-14 (id: JkxnuYE)</t>
        </is>
      </c>
      <c r="L47" s="2" t="inlineStr">
        <is>
          <t>医学各論 Ⅵ-1-C-①（食道癌、a）</t>
        </is>
      </c>
      <c r="M47" s="2" t="inlineStr"/>
      <c r="N47" s="3" t="inlineStr"/>
      <c r="O47" s="3" t="inlineStr"/>
      <c r="P47" s="3" t="inlineStr"/>
    </row>
    <row r="48">
      <c r="A48" s="2" t="inlineStr">
        <is>
          <t>ES-049</t>
        </is>
      </c>
      <c r="B48" s="2" t="inlineStr">
        <is>
          <t>verified_sources</t>
        </is>
      </c>
      <c r="C48" s="2" t="inlineStr">
        <is>
          <t>切除可能な局所進行食道扁平上皮癌の術前療法として、ドセタキセルを加えた3剤併用（DCF）はシスプラチン＋5-FU（CF）より全生存を改善した。CFに放射線を加えた群（CF-RT）はCFに対する生存上の優越性を示さなかった。登録は601例（2012年12月〜2018年7月、1:1:1割付）。</t>
        </is>
      </c>
      <c r="D48" s="2" t="inlineStr">
        <is>
          <t>cStage IB〜III（UICC第7版）の切除可能な食道扁平上皮癌</t>
        </is>
      </c>
      <c r="E48" s="2" t="inlineStr">
        <is>
          <t>鑑別：術前化学放射線療法（欧米の標準）
誤解：放射線を加えれば必ず生存が延びるわけではない</t>
        </is>
      </c>
      <c r="F48" s="2" t="inlineStr">
        <is>
          <t>Kato K, et al. JCOG1109 NExT. Lancet 2024;404(10447):55-66</t>
        </is>
      </c>
      <c r="G48" s="6" t="inlineStr">
        <is>
          <t>10.1016/S0140-6736(24)00745-1</t>
        </is>
      </c>
      <c r="H48" s="6" t="inlineStr">
        <is>
          <t>38876133</t>
        </is>
      </c>
      <c r="I48" s="2" t="inlineStr">
        <is>
          <t>RESTRICTED</t>
        </is>
      </c>
      <c r="J48" s="2" t="inlineStr">
        <is>
          <t>有害事象の割合はニュース照合のみのため主張文に含めない</t>
        </is>
      </c>
      <c r="K48" s="2" t="inlineStr">
        <is>
          <t>PS-03-04-14 (id: JkxnuYE)</t>
        </is>
      </c>
      <c r="L48" s="2" t="inlineStr">
        <is>
          <t>医学各論 Ⅵ-1-C-①（食道癌、a）</t>
        </is>
      </c>
      <c r="M48" s="2" t="inlineStr">
        <is>
          <t>[2026-10-12] 統合：本文を v2 の ES-R01（raw/01b_esophagus_v2.md）で全文置換。ID は v1 の ES-049 を引き継ぐ。置換前の v1 本文は git 履歴の data/facts/_staging_ES_v1.yaml にある（proposals/es_merge_map.csv、claude-code（人間が2026-10-12にチャットで委任））
[2026-10-12] status draft → verified_sources（識別子・ライセンスを API で照合済み、主張文の数値・推奨を一次資料と照合：Kato K, Lancet 2024（PMID 38876133）の抄録：601例、3年OS 72.1%対62.6%、HR 0.68、CF-RTは有意差なし。人間が2026-10-12にチャットで委任）</t>
        </is>
      </c>
      <c r="N48" s="3" t="inlineStr"/>
      <c r="O48" s="3" t="inlineStr"/>
      <c r="P48" s="3" t="inlineStr"/>
    </row>
    <row r="49">
      <c r="A49" s="2" t="inlineStr">
        <is>
          <t>ES-050</t>
        </is>
      </c>
      <c r="B49" s="2" t="inlineStr">
        <is>
          <t>draft</t>
        </is>
      </c>
      <c r="C49" s="2" t="inlineStr">
        <is>
          <t>JCOG1109の病理学的完全奏効（pCR）率は、CF＋放射線療法38.5%、DCF 19.8%、CF 2.0%だった。CRT群のpCR率の高さは全生存の改善につながらなかった。</t>
        </is>
      </c>
      <c r="D49" s="2" t="inlineStr">
        <is>
          <t>region: 日本</t>
        </is>
      </c>
      <c r="E49" s="2" t="inlineStr">
        <is>
          <t>鑑別：CROSS試験
誤解：pCRは常に全生存の代わりの指標になると考える</t>
        </is>
      </c>
      <c r="F49" s="2" t="inlineStr">
        <is>
          <t>Kato K, et al. JCOG1109 NExT. Lancet 2024;404:55-66</t>
        </is>
      </c>
      <c r="G49" s="6" t="inlineStr">
        <is>
          <t>10.1016/S0140-6736(24)00745-1</t>
        </is>
      </c>
      <c r="H49" s="6" t="inlineStr">
        <is>
          <t>38876133</t>
        </is>
      </c>
      <c r="I49" s="2" t="inlineStr">
        <is>
          <t>RESTRICTED</t>
        </is>
      </c>
      <c r="J49" s="2" t="inlineStr">
        <is>
          <t>medium</t>
        </is>
      </c>
      <c r="K49" s="2" t="inlineStr">
        <is>
          <t>PS-03-04-14 (id: JkxnuYE)</t>
        </is>
      </c>
      <c r="L49" s="2" t="inlineStr">
        <is>
          <t>医学各論 Ⅵ-1-C-①（食道癌、a）</t>
        </is>
      </c>
      <c r="M49" s="2" t="inlineStr"/>
      <c r="N49" s="3" t="inlineStr"/>
      <c r="O49" s="3" t="inlineStr"/>
      <c r="P49" s="3" t="inlineStr"/>
    </row>
    <row r="50">
      <c r="A50" s="2" t="inlineStr">
        <is>
          <t>ES-051</t>
        </is>
      </c>
      <c r="B50" s="2" t="inlineStr">
        <is>
          <t>verified_sources</t>
        </is>
      </c>
      <c r="C50" s="2" t="inlineStr">
        <is>
          <t>術前化学放射線療法と切除の後に病理学的残存病変がある食道癌・食道胃接合部癌で、術後ニボルマブはプラセボに比べて無病生存期間を延長した（中央値22.4か月対11.0か月）。最終解析の全生存は統計学的有意差に達しなかった。</t>
        </is>
      </c>
      <c r="D50" s="2" t="inlineStr">
        <is>
          <t>術前CRT後に病理学的完全奏効が得られなかった切除例</t>
        </is>
      </c>
      <c r="E50" s="2" t="inlineStr">
        <is>
          <t>鑑別：日本の標準である術前化学療法（DCF）後の症例は対象外
誤解：DFSの改善がそのまま全生存の有意な延長を意味するわけではない</t>
        </is>
      </c>
      <c r="F50" s="2" t="inlineStr">
        <is>
          <t>Kelly RJ, et al. CheckMate 577. NEJM 2021;384:1191-1203。OS: JCO 2025;43(16_suppl):4000</t>
        </is>
      </c>
      <c r="G50" s="6" t="inlineStr">
        <is>
          <t>10.1056/NEJMoa2032125</t>
        </is>
      </c>
      <c r="H50" s="6" t="inlineStr">
        <is>
          <t>33789008</t>
        </is>
      </c>
      <c r="I50" s="2" t="inlineStr">
        <is>
          <t>RESTRICTED</t>
        </is>
      </c>
      <c r="J50" s="2" t="inlineStr">
        <is>
          <t>PMIDは照合不能のため削除。OSの数値はASCO抄録（Kelly RJ, JCO 2025;43(16_suppl):4000, DOI 10.1200/JCO.2025.43.16_suppl.4000）で確認：中央値51.7対35.3か月、HR 0.85（95.87%CI 0.70–1.04）。5年OS 46%対41%は未確認</t>
        </is>
      </c>
      <c r="K50" s="2" t="inlineStr">
        <is>
          <t>PS-03-04-14 (id: JkxnuYE)</t>
        </is>
      </c>
      <c r="L50" s="2" t="inlineStr">
        <is>
          <t>医学各論 Ⅵ-1-C-①（食道癌、a）</t>
        </is>
      </c>
      <c r="M50" s="2" t="inlineStr">
        <is>
          <t>[2026-10-12] 統合：本文を v2 の ES-R02（raw/01b_esophagus_v2.md）で全文置換。ID は v1 の ES-051 を引き継ぐ。置換前の v1 本文は git 履歴の data/facts/_staging_ES_v1.yaml にある（proposals/es_merge_map.csv、claude-code（人間が2026-10-12にチャットで委任））
[2026-10-12] status draft → verified_sources（識別子・ライセンスを API で照合済み、主張文の数値・推奨を一次資料と照合：Kelly RJ, NEJM 2021（PMID 33789008）の抄録：794例（532対262）、DFS 22.4対11.0か月、HR 0.69。人間が2026-10-12にチャットで委任）</t>
        </is>
      </c>
      <c r="N50" s="3" t="inlineStr"/>
      <c r="O50" s="3" t="inlineStr"/>
      <c r="P50" s="3" t="inlineStr"/>
    </row>
    <row r="51">
      <c r="A51" s="2" t="inlineStr">
        <is>
          <t>ES-052</t>
        </is>
      </c>
      <c r="B51" s="2" t="inlineStr">
        <is>
          <t>verified_sources</t>
        </is>
      </c>
      <c r="C51" s="2" t="inlineStr">
        <is>
          <t>切除不能な進行・再発食道扁平上皮癌の一次治療で、ニボルマブ＋化学療法とニボルマブ＋イピリムマブは、化学療法単独に比べて全生存を延長した。</t>
        </is>
      </c>
      <c r="D51" s="2" t="inlineStr">
        <is>
          <t>未治療の進行食道扁平上皮癌</t>
        </is>
      </c>
      <c r="E51" s="2" t="inlineStr">
        <is>
          <t>鑑別：KEYNOTE-590（ペムブロリズマブ＋化学療法）
誤解：腫瘍PD-L1の発現にかかわらず効果が同じというわけではない</t>
        </is>
      </c>
      <c r="F51" s="2" t="inlineStr">
        <is>
          <t>Doki Y, et al. CheckMate 648. NEJM 2022;386:449-462</t>
        </is>
      </c>
      <c r="G51" s="6" t="inlineStr">
        <is>
          <t>10.1056/NEJMoa2111380</t>
        </is>
      </c>
      <c r="H51" s="6" t="inlineStr">
        <is>
          <t>35108470</t>
        </is>
      </c>
      <c r="I51" s="2" t="inlineStr">
        <is>
          <t>RESTRICTED</t>
        </is>
      </c>
      <c r="J51" s="2" t="inlineStr">
        <is>
          <t>low（抄録で照合）</t>
        </is>
      </c>
      <c r="K51" s="2" t="inlineStr">
        <is>
          <t>PS-03-04-14 (id: JkxnuYE)</t>
        </is>
      </c>
      <c r="L51" s="2" t="inlineStr">
        <is>
          <t>医学各論 Ⅵ-1-C-①（食道癌、a）</t>
        </is>
      </c>
      <c r="M51" s="2" t="inlineStr">
        <is>
          <t>[2026-10-12] 統合：本文を v2 の ES-R03（raw/01b_esophagus_v2.md）で全文置換。ID は v1 の ES-052 を引き継ぐ。置換前の v1 本文は git 履歴の data/facts/_staging_ES_v1.yaml にある（proposals/es_merge_map.csv、claude-code（人間が2026-10-12にチャットで委任））
[2026-10-12] 内容照合による修正（人間が2026-10-12にチャットで委任）：一次資料（抄録）で主張文を照合したため uncertainty を更新。変更項目：uncertainty。根拠：Doki Y, NEJM 2022（PMID 35108470）の抄録：970例、PD-L1≥1%と全体集団でOS延長
[2026-10-12] status draft → verified_sources（識別子・ライセンスを API で照合済み、主張文の数値・推奨を一次資料と照合：Doki Y, NEJM 2022（PMID 35108470）の抄録：970例、PD-L1≥1%と全体集団でOS延長。人間が2026-10-12にチャットで委任）</t>
        </is>
      </c>
      <c r="N51" s="3" t="inlineStr"/>
      <c r="O51" s="3" t="inlineStr"/>
      <c r="P51" s="3" t="inlineStr"/>
    </row>
    <row r="52">
      <c r="A52" s="2" t="inlineStr">
        <is>
          <t>ES-053</t>
        </is>
      </c>
      <c r="B52" s="2" t="inlineStr">
        <is>
          <t>verified_sources</t>
        </is>
      </c>
      <c r="C52" s="2" t="inlineStr">
        <is>
          <t>KEYNOTE-590試験（749例）では、一次治療としてのペムブロリズマブ＋化学療法が全生存を延長した。扁平上皮癌かつPD-L1 CPS 10以上の集団では、全生存期間の中央値が13.9か月 vs 8.8か月、ハザード比0.57だった。</t>
        </is>
      </c>
      <c r="D52" s="2" t="inlineStr">
        <is>
          <t>region: 国際</t>
        </is>
      </c>
      <c r="E52" s="2" t="inlineStr">
        <is>
          <t>鑑別：対象には腺癌とSiewert I型の食道胃接合部腺癌も含まれる
誤解：扁平上皮癌だけを対象とした試験と考える</t>
        </is>
      </c>
      <c r="F52" s="2" t="inlineStr">
        <is>
          <t>Sun JM, et al. KEYNOTE-590. Lancet 2021;398:759-771</t>
        </is>
      </c>
      <c r="G52" s="6" t="inlineStr">
        <is>
          <t>10.1016/S0140-6736(21)01234-4</t>
        </is>
      </c>
      <c r="H52" s="6" t="inlineStr">
        <is>
          <t>34454674</t>
        </is>
      </c>
      <c r="I52" s="2" t="inlineStr">
        <is>
          <t>RESTRICTED</t>
        </is>
      </c>
      <c r="J52" s="2" t="inlineStr">
        <is>
          <t>low</t>
        </is>
      </c>
      <c r="K52" s="2" t="inlineStr">
        <is>
          <t>PS-03-04-14 (id: JkxnuYE)</t>
        </is>
      </c>
      <c r="L52" s="2" t="inlineStr">
        <is>
          <t>医学各論 Ⅵ-1-C-①（食道癌、a）</t>
        </is>
      </c>
      <c r="M52" s="2" t="inlineStr">
        <is>
          <t>[2026-10-12] status draft → verified_sources（識別子・ライセンスを API で照合済み、主張文の数値・推奨を一次資料と照合：Sun JM, Lancet 2021（PMID 34454674）の抄録。人間が2026-10-12にチャットで委任）</t>
        </is>
      </c>
      <c r="N52" s="3" t="inlineStr"/>
      <c r="O52" s="3" t="inlineStr"/>
      <c r="P52" s="3" t="inlineStr"/>
    </row>
    <row r="53">
      <c r="A53" s="2" t="inlineStr">
        <is>
          <t>ES-054</t>
        </is>
      </c>
      <c r="B53" s="2" t="inlineStr">
        <is>
          <t>verified_sources</t>
        </is>
      </c>
      <c r="C53" s="2" t="inlineStr">
        <is>
          <t>進行食道癌の一次治療で、ペムブロリズマブ＋化学療法はプラセボ＋化学療法より全生存を改善した。追跡中央値58.8か月での5年全生存率は10.6%対3.0%だった。</t>
        </is>
      </c>
      <c r="D53" s="2" t="inlineStr">
        <is>
          <t>未治療の進行・転移性食道癌（扁平上皮癌、腺癌、Siewert I型の食道胃接合部腺癌）</t>
        </is>
      </c>
      <c r="E53" s="2" t="inlineStr">
        <is>
          <t>鑑別：CheckMate 648
誤解：5年時点でも生存者は少数であり、長期生存の確率が上がったという意味にとどまる</t>
        </is>
      </c>
      <c r="F53" s="2" t="inlineStr">
        <is>
          <t>Metges JP, et al. KEYNOTE-590 5-year extended follow-up. ESMO Open 2025;10(12):105854（原著：Sun JM, Lancet 2021;398:759-771, PMID 34454674）</t>
        </is>
      </c>
      <c r="G53" s="6" t="inlineStr">
        <is>
          <t>10.1016/j.esmoop.2025.105854</t>
        </is>
      </c>
      <c r="H53" s="6" t="inlineStr">
        <is>
          <t>41259897</t>
        </is>
      </c>
      <c r="I53" s="2" t="inlineStr">
        <is>
          <t>RESTRICTED</t>
        </is>
      </c>
      <c r="J53" s="2" t="inlineStr">
        <is>
          <t>low（5年生存率は5年追跡論文の抄録で照合）</t>
        </is>
      </c>
      <c r="K53" s="2" t="inlineStr">
        <is>
          <t>PS-03-04-14 (id: JkxnuYE)</t>
        </is>
      </c>
      <c r="L53" s="2" t="inlineStr">
        <is>
          <t>医学各論 Ⅵ-1-C-①（食道癌、a）</t>
        </is>
      </c>
      <c r="M53" s="2" t="inlineStr">
        <is>
          <t>[2026-10-12] 統合：本文を v2 の ES-R04（raw/01b_esophagus_v2.md）で全文置換。ID は v1 の ES-054 を引き継ぐ。置換前の v1 本文は git 履歴の data/facts/_staging_ES_v1.yaml にある（proposals/es_merge_map.csv、claude-code（人間が2026-10-12にチャットで委任））
[2026-10-12] 内容照合による修正（人間が2026-10-12にチャットで委任）：5年生存率を v2 の 10.9%対3.1% から、一次資料の 10.6%対3.0% に訂正。pmid は原著のものだったため、DOI と同じ5年追跡論文の PMID に置き換え（原著の PMID は source に記載）。変更項目：assertion.plain_statement_ja, provenance.source, provenance.pmid, uncertainty。根拠：Metges JP, ESMO Open 2025（PMID 41259897）の抄録：5年生存率 10.6% 対 3.0%；Sun JM, Lancet 2021（PMID 34454674）の抄録
[2026-10-12] status draft → verified_sources（識別子・ライセンスを API で照合済み、主張文の数値・推奨を一次資料と照合：Metges JP, ESMO Open 2025（PMID 41259897）の抄録：5年生存率 10.6% 対 3.0%。人間が2026-10-12にチャットで委任）</t>
        </is>
      </c>
      <c r="N53" s="3" t="inlineStr"/>
      <c r="O53" s="3" t="inlineStr"/>
      <c r="P53" s="3" t="inlineStr"/>
    </row>
    <row r="54">
      <c r="A54" s="2" t="inlineStr">
        <is>
          <t>ES-055</t>
        </is>
      </c>
      <c r="B54" s="2" t="inlineStr">
        <is>
          <t>verified_sources</t>
        </is>
      </c>
      <c r="C54" s="2" t="inlineStr">
        <is>
          <t>切除できない局所進行食道癌や、手術を望まない・耐えられないcStage II/IIIの症例では、根治的化学放射線療法が選択肢になる。その後に病変が遺残・再発した場合は、救済手術を検討する。</t>
        </is>
      </c>
      <c r="D54" s="2" t="inlineStr">
        <is>
          <t>region: 日本</t>
        </is>
      </c>
      <c r="E54" s="2" t="inlineStr">
        <is>
          <t>鑑別：救済手術は合併症のリスクが高い
誤解：CRT後に遺残があれば全例緩和治療のみと考える</t>
        </is>
      </c>
      <c r="F54" s="2" t="inlineStr">
        <is>
          <t>Kitagawa Y, et al. JES Esophageal cancer practice guidelines 2022 part 1. Esophagus 2023;20:343-372</t>
        </is>
      </c>
      <c r="G54" s="6" t="inlineStr">
        <is>
          <t>10.1007/s10388-023-00993-2</t>
        </is>
      </c>
      <c r="H54" s="6" t="inlineStr">
        <is>
          <t>36933136</t>
        </is>
      </c>
      <c r="I54" s="2" t="inlineStr">
        <is>
          <t>OPEN</t>
        </is>
      </c>
      <c r="J54" s="2" t="inlineStr">
        <is>
          <t>medium</t>
        </is>
      </c>
      <c r="K54" s="2" t="inlineStr">
        <is>
          <t>PS-03-04-14 (id: JkxnuYE)</t>
        </is>
      </c>
      <c r="L54" s="2" t="inlineStr">
        <is>
          <t>医学各論 Ⅵ-1-C-①（食道癌、a）</t>
        </is>
      </c>
      <c r="M54" s="2" t="inlineStr">
        <is>
          <t>[2026-10-12] status draft → verified_sources（識別子・ライセンスを API で照合済み、主張文の数値・推奨を一次資料と照合：日本食道学会 食道癌診療GL 2022 Part 1 本文（PMC10024303、CC BY）。人間が2026-10-12にチャットで委任）</t>
        </is>
      </c>
      <c r="N54" s="3" t="inlineStr"/>
      <c r="O54" s="3" t="inlineStr"/>
      <c r="P54" s="3" t="inlineStr"/>
    </row>
    <row r="55">
      <c r="A55" s="2" t="inlineStr">
        <is>
          <t>ES-056</t>
        </is>
      </c>
      <c r="B55" s="2" t="inlineStr">
        <is>
          <t>verified_sources</t>
        </is>
      </c>
      <c r="C55" s="2" t="inlineStr">
        <is>
          <t>日本食道学会のガイドラインは、76歳以上の患者に推奨を当てはめるときは注意するよう求めている。</t>
        </is>
      </c>
      <c r="D55" s="2" t="inlineStr">
        <is>
          <t>region: 日本；population: 高齢者</t>
        </is>
      </c>
      <c r="E55" s="2" t="inlineStr">
        <is>
          <t>鑑別：根拠となった試験の多くは75歳以下を対象としていた
誤解：推奨は年齢に関係なく一律に適用できると考える</t>
        </is>
      </c>
      <c r="F55" s="2" t="inlineStr">
        <is>
          <t>Kitagawa Y, et al. JES Esophageal cancer practice guidelines 2022 part 1. Esophagus 2023;20:343-372</t>
        </is>
      </c>
      <c r="G55" s="6" t="inlineStr">
        <is>
          <t>10.1007/s10388-023-00993-2</t>
        </is>
      </c>
      <c r="H55" s="6" t="inlineStr">
        <is>
          <t>36933136</t>
        </is>
      </c>
      <c r="I55" s="2" t="inlineStr">
        <is>
          <t>OPEN</t>
        </is>
      </c>
      <c r="J55" s="2" t="inlineStr">
        <is>
          <t>low</t>
        </is>
      </c>
      <c r="K55" s="2" t="inlineStr">
        <is>
          <t>PS-03-04-14 (id: JkxnuYE)</t>
        </is>
      </c>
      <c r="L55" s="2" t="inlineStr">
        <is>
          <t>医学各論 Ⅵ-1-C-①（食道癌、a）</t>
        </is>
      </c>
      <c r="M55" s="2" t="inlineStr">
        <is>
          <t>[2026-10-12] status draft → verified_sources（識別子・ライセンスを API で照合済み、主張文の数値・推奨を一次資料と照合：日本食道学会 食道癌診療GL 2022 Part 1 本文（PMC10024303、CC BY）。人間が2026-10-12にチャットで委任）</t>
        </is>
      </c>
      <c r="N55" s="3" t="inlineStr"/>
      <c r="O55" s="3" t="inlineStr"/>
      <c r="P55" s="3" t="inlineStr"/>
    </row>
    <row r="56">
      <c r="A56" s="2" t="inlineStr">
        <is>
          <t>ES-057</t>
        </is>
      </c>
      <c r="B56" s="2" t="inlineStr">
        <is>
          <t>verified_sources</t>
        </is>
      </c>
      <c r="C56" s="2" t="inlineStr">
        <is>
          <t>臨床的に有意な門脈圧亢進症（CSPH）は、肝静脈圧較差（HVPG）10 mmHg以上で定義される。</t>
        </is>
      </c>
      <c r="D56" s="2" t="inlineStr">
        <is>
          <t>region: 国際</t>
        </is>
      </c>
      <c r="E56" s="2" t="inlineStr">
        <is>
          <t>鑑別：HVPG 6〜9 mmHgはCSPHに至らない門脈圧亢進
誤解：静脈瘤がなければCSPHではないと考える</t>
        </is>
      </c>
      <c r="F56" s="2" t="inlineStr">
        <is>
          <t>Kaplan DE, et al. AASLD Practice Guidance, portal hypertension and varices. Hepatology 2024;79:1180-1211</t>
        </is>
      </c>
      <c r="G56" s="6" t="inlineStr">
        <is>
          <t>10.1097/HEP.0000000000000647</t>
        </is>
      </c>
      <c r="H56" s="6" t="inlineStr">
        <is>
          <t>37870298</t>
        </is>
      </c>
      <c r="I56" s="2" t="inlineStr">
        <is>
          <t>RESTRICTED</t>
        </is>
      </c>
      <c r="J56" s="2" t="inlineStr">
        <is>
          <t>low</t>
        </is>
      </c>
      <c r="K56" s="2" t="inlineStr">
        <is>
          <t>PS-02-08-05 (id: JkxnuRY)</t>
        </is>
      </c>
      <c r="L56" s="2" t="inlineStr">
        <is>
          <t>医学各論 Ⅵ-6-D-①（門脈圧亢進症、a）</t>
        </is>
      </c>
      <c r="M56" s="2" t="inlineStr">
        <is>
          <t>[2026-10-12] status draft → verified_sources（識別子・ライセンスを API で照合済み、主張文の数値・推奨を一次資料と照合：Baveno VII 本文（PMC11090185、著者稿）。人間が2026-10-12にチャットで委任）</t>
        </is>
      </c>
      <c r="N56" s="3" t="inlineStr"/>
      <c r="O56" s="3" t="inlineStr"/>
      <c r="P56" s="3" t="inlineStr"/>
    </row>
    <row r="57">
      <c r="A57" s="2" t="inlineStr">
        <is>
          <t>ES-058</t>
        </is>
      </c>
      <c r="B57" s="2" t="inlineStr">
        <is>
          <t>verified_sources</t>
        </is>
      </c>
      <c r="C57" s="2" t="inlineStr">
        <is>
          <t>Baveno VIIとAASLD 2024は、CSPHのある代償性肝硬変に非選択的β遮断薬（NSBB）を勧めており、カルベジロールを優先する。目的は非代償化の予防にまで及ぶ。</t>
        </is>
      </c>
      <c r="D57" s="2" t="inlineStr">
        <is>
          <t>region: 欧米</t>
        </is>
      </c>
      <c r="E57" s="2" t="inlineStr">
        <is>
          <t>鑑別：従来は高リスク静脈瘤の一次予防に限っていた
誤解：NSBBの目的は出血予防だけと考える</t>
        </is>
      </c>
      <c r="F57" s="2" t="inlineStr">
        <is>
          <t>Kaplan DE, et al. AASLD Practice Guidance, portal hypertension and varices. Hepatology 2024;79:1180-1211</t>
        </is>
      </c>
      <c r="G57" s="6" t="inlineStr">
        <is>
          <t>10.1097/HEP.0000000000000647</t>
        </is>
      </c>
      <c r="H57" s="6" t="inlineStr">
        <is>
          <t>37870298</t>
        </is>
      </c>
      <c r="I57" s="2" t="inlineStr">
        <is>
          <t>RESTRICTED</t>
        </is>
      </c>
      <c r="J57" s="2" t="inlineStr">
        <is>
          <t>low（Baveno VII本文で照合。AASLD 2024は本文未照合）</t>
        </is>
      </c>
      <c r="K57" s="2" t="inlineStr">
        <is>
          <t>PS-02-08-05 (id: JkxnuRY)</t>
        </is>
      </c>
      <c r="L57" s="2" t="inlineStr">
        <is>
          <t>医学各論 Ⅵ-6-D-①（門脈圧亢進症、a）</t>
        </is>
      </c>
      <c r="M57" s="2" t="inlineStr">
        <is>
          <t>[2026-10-12] 内容照合による修正（人間が2026-10-12にチャットで委任）：Baveno VII 本文で推奨を確認。日本の扱いはこのカードの対象外のため「要確認」を削除。変更項目：uncertainty, provenance.corroboration。根拠：Baveno VII 本文（PMC11090185、著者稿）
[2026-10-12] status draft → verified_sources（識別子・ライセンスを API で照合済み、主張文の数値・推奨を一次資料と照合：Baveno VII 本文（PMC11090185、著者稿）。人間が2026-10-12にチャットで委任）</t>
        </is>
      </c>
      <c r="N57" s="3" t="inlineStr"/>
      <c r="O57" s="3" t="inlineStr"/>
      <c r="P57" s="3" t="inlineStr"/>
    </row>
    <row r="58">
      <c r="A58" s="2" t="inlineStr">
        <is>
          <t>ES-059</t>
        </is>
      </c>
      <c r="B58" s="2" t="inlineStr">
        <is>
          <t>draft</t>
        </is>
      </c>
      <c r="C58" s="2" t="inlineStr">
        <is>
          <t>AASLD 2024は、門脈圧亢進症に用いるNSBBとしてカルベジロールを第一に勧め、維持量を1日6.25〜12.5 mgとしている。</t>
        </is>
      </c>
      <c r="D58" s="2" t="inlineStr">
        <is>
          <t>region: 米国</t>
        </is>
      </c>
      <c r="E58" s="2" t="inlineStr">
        <is>
          <t>鑑別：プロプラノロール、ナドロール
誤解：カルベジロールを心拍数55/分になるまで増量すると考える</t>
        </is>
      </c>
      <c r="F58" s="2" t="inlineStr">
        <is>
          <t>Kaplan DE, et al. AASLD Practice Guidance, portal hypertension and varices. Hepatology 2024;79:1180-1211</t>
        </is>
      </c>
      <c r="G58" s="6" t="inlineStr">
        <is>
          <t>10.1097/HEP.0000000000000647</t>
        </is>
      </c>
      <c r="H58" s="6" t="inlineStr">
        <is>
          <t>37870298</t>
        </is>
      </c>
      <c r="I58" s="2" t="inlineStr">
        <is>
          <t>RESTRICTED</t>
        </is>
      </c>
      <c r="J58" s="2" t="inlineStr">
        <is>
          <t>low</t>
        </is>
      </c>
      <c r="K58" s="2" t="inlineStr">
        <is>
          <t>PS-02-08-05 (id: JkxnuRY)</t>
        </is>
      </c>
      <c r="L58" s="2" t="inlineStr">
        <is>
          <t>医学各論 Ⅵ-6-D-①（門脈圧亢進症、a）</t>
        </is>
      </c>
      <c r="M58" s="2" t="inlineStr"/>
      <c r="N58" s="3" t="inlineStr"/>
      <c r="O58" s="3" t="inlineStr"/>
      <c r="P58" s="3" t="inlineStr"/>
    </row>
    <row r="59">
      <c r="A59" s="2" t="inlineStr">
        <is>
          <t>ES-060</t>
        </is>
      </c>
      <c r="B59" s="2" t="inlineStr">
        <is>
          <t>draft</t>
        </is>
      </c>
      <c r="C59" s="2" t="inlineStr">
        <is>
          <t>AASLD 2024は、高リスク静脈瘤の一次予防としてNSBBとEVLの両方を認めるが、NSBBを優先する。EVLは、NSBBを使えない場合に行う。</t>
        </is>
      </c>
      <c r="D59" s="2" t="inlineStr">
        <is>
          <t>region: 米国</t>
        </is>
      </c>
      <c r="E59" s="2" t="inlineStr">
        <is>
          <t>鑑別：日本では内視鏡治療の比重が大きい（要確認）
誤解：NSBBとEVLの併用が一次予防の標準と考える</t>
        </is>
      </c>
      <c r="F59" s="2" t="inlineStr">
        <is>
          <t>Kaplan DE, et al. AASLD Practice Guidance, portal hypertension and varices. Hepatology 2024;79:1180-1211</t>
        </is>
      </c>
      <c r="G59" s="6" t="inlineStr">
        <is>
          <t>10.1097/HEP.0000000000000647</t>
        </is>
      </c>
      <c r="H59" s="6" t="inlineStr">
        <is>
          <t>37870298</t>
        </is>
      </c>
      <c r="I59" s="2" t="inlineStr">
        <is>
          <t>RESTRICTED</t>
        </is>
      </c>
      <c r="J59" s="2" t="inlineStr">
        <is>
          <t>low</t>
        </is>
      </c>
      <c r="K59" s="2" t="inlineStr">
        <is>
          <t>PS-02-08-05 (id: JkxnuRY)；TBL-02-07-033 (id: JlAKplQ)</t>
        </is>
      </c>
      <c r="L59" s="2" t="inlineStr">
        <is>
          <t>医学各論 Ⅵ-1-D-①（食道静脈瘤（備考：胃静脈瘤、BRTO）、a）</t>
        </is>
      </c>
      <c r="M59" s="2" t="inlineStr"/>
      <c r="N59" s="3" t="inlineStr"/>
      <c r="O59" s="3" t="inlineStr"/>
      <c r="P59" s="3" t="inlineStr"/>
    </row>
    <row r="60">
      <c r="A60" s="2" t="inlineStr">
        <is>
          <t>ES-061</t>
        </is>
      </c>
      <c r="B60" s="2" t="inlineStr">
        <is>
          <t>draft</t>
        </is>
      </c>
      <c r="C60" s="2" t="inlineStr">
        <is>
          <t>日本の食道・胃静脈瘤内視鏡所見記載基準は、占居部位（L）、形態（F）、色調（C）、発赤所見（RC）、出血所見（BS）、粘膜所見（MF）の6項目で記載する。食道ではLs・Lm・Li、F0〜F3、Cw・Cb、RC0〜3（ミミズ腫れ・チェリーレッドスポット・血マメ）を用いる。</t>
        </is>
      </c>
      <c r="D60" s="2" t="inlineStr">
        <is>
          <t>門脈圧亢進症取扱い規約 第3版（2013年）</t>
        </is>
      </c>
      <c r="E60" s="2" t="inlineStr">
        <is>
          <t>鑑別：胃静脈瘤の部位分類（Lg-c、Lg-cf、Lg-f）
誤解：F0でも発赤所見があればRC1〜3で記載する</t>
        </is>
      </c>
      <c r="F60" s="2" t="inlineStr">
        <is>
          <t>日本門脈圧亢進症学会 門脈圧亢進症取扱い規約 第3版（記載基準表を日消誌116(5):395、日内会誌103(5):1187で確認）</t>
        </is>
      </c>
      <c r="G60" s="2" t="inlineStr"/>
      <c r="H60" s="2" t="inlineStr"/>
      <c r="I60" s="2" t="inlineStr">
        <is>
          <t>RESTRICTED</t>
        </is>
      </c>
      <c r="J60" s="2" t="inlineStr">
        <is>
          <t>取扱い規約の最新版（第4版の有無）は要確認</t>
        </is>
      </c>
      <c r="K60" s="2" t="inlineStr">
        <is>
          <t>PS-02-08-05 (id: JkxnuRY)；TBL-02-07-030 (id: JlAKplE)</t>
        </is>
      </c>
      <c r="L60" s="2" t="inlineStr">
        <is>
          <t>医学各論 Ⅵ-1-D-①（食道静脈瘤（備考：胃静脈瘤、BRTO）、a）</t>
        </is>
      </c>
      <c r="M60" s="2" t="inlineStr">
        <is>
          <t>[2026-10-12] 統合：本文を v2 の ES-R17（raw/01b_esophagus_v2.md）で全文置換。ID は v1 の ES-061 を引き継ぐ。置換前の v1 本文は git 履歴の data/facts/_staging_ES_v1.yaml にある（proposals/es_merge_map.csv、claude-code（人間が2026-10-12にチャットで委任））</t>
        </is>
      </c>
      <c r="N60" s="3" t="inlineStr"/>
      <c r="O60" s="3" t="inlineStr"/>
      <c r="P60" s="3" t="inlineStr"/>
    </row>
    <row r="61">
      <c r="A61" s="2" t="inlineStr">
        <is>
          <t>ES-062</t>
        </is>
      </c>
      <c r="B61" s="2" t="inlineStr">
        <is>
          <t>verified_sources</t>
        </is>
      </c>
      <c r="C61" s="2" t="inlineStr">
        <is>
          <t>肝硬変の急性静脈瘤出血では、血管作動薬を内視鏡の前から早期に開始して2〜5日続ける。あわせて予防的抗菌薬を投与し、12時間以内に内視鏡を行って、食道静脈瘤にはEVLを施行する。</t>
        </is>
      </c>
      <c r="D61" s="2" t="inlineStr">
        <is>
          <t>region: 欧米</t>
        </is>
      </c>
      <c r="E61" s="2" t="inlineStr">
        <is>
          <t>鑑別：非静脈瘤性の上部消化管出血の初期対応（UG領域）
誤解：抗菌薬は感染徴候があるときだけ使うと考える</t>
        </is>
      </c>
      <c r="F61" s="2" t="inlineStr">
        <is>
          <t>de Franchis R, et al. Baveno VII. J Hepatol 2022;76:959-974</t>
        </is>
      </c>
      <c r="G61" s="6" t="inlineStr">
        <is>
          <t>10.1016/j.jhep.2021.12.022</t>
        </is>
      </c>
      <c r="H61" s="6" t="inlineStr">
        <is>
          <t>35120736</t>
        </is>
      </c>
      <c r="I61" s="2" t="inlineStr">
        <is>
          <t>RESTRICTED</t>
        </is>
      </c>
      <c r="J61" s="2" t="inlineStr">
        <is>
          <t>low</t>
        </is>
      </c>
      <c r="K61" s="2" t="inlineStr">
        <is>
          <t>PS-02-08-05 (id: JkxnuRY)；TBL-02-07-019 (id: JlAKpkg)</t>
        </is>
      </c>
      <c r="L61" s="2" t="inlineStr">
        <is>
          <t>医学各論 Ⅵ-1-D-①（食道静脈瘤（備考：胃静脈瘤、BRTO）、a）</t>
        </is>
      </c>
      <c r="M61" s="2" t="inlineStr">
        <is>
          <t>[2026-10-12] 内容照合による修正（人間が2026-10-12にチャットで委任）：「日本の保険適用は要確認」はこのカードの対象外のため、鑑別の記載に差し替え。変更項目：assertion.differential。根拠：Baveno VII 本文（PMC11090185、著者稿）
[2026-10-12] status draft → verified_sources（識別子・ライセンスを API で照合済み、主張文の数値・推奨を一次資料と照合：Baveno VII 本文（PMC11090185、著者稿）。人間が2026-10-12にチャットで委任）</t>
        </is>
      </c>
      <c r="N61" s="3" t="inlineStr"/>
      <c r="O61" s="3" t="inlineStr"/>
      <c r="P61" s="3" t="inlineStr"/>
    </row>
    <row r="62">
      <c r="A62" s="2" t="inlineStr">
        <is>
          <t>ES-063</t>
        </is>
      </c>
      <c r="B62" s="2" t="inlineStr">
        <is>
          <t>verified_sources</t>
        </is>
      </c>
      <c r="C62" s="2" t="inlineStr">
        <is>
          <t>急性上部消化管出血では、Hb 7 g/dL未満で輸血する制限的輸血戦略が、9 g/dL未満で輸血する自由輸血戦略より転帰が良かった。</t>
        </is>
      </c>
      <c r="D62" s="2" t="inlineStr">
        <is>
          <t>急性上部消化管出血（静脈瘤出血を含む）</t>
        </is>
      </c>
      <c r="E62" s="2" t="inlineStr">
        <is>
          <t>鑑別：虚血性心疾患合併例
誤解：出血例では高いHbを目標にすべきとは限らない</t>
        </is>
      </c>
      <c r="F62" s="2" t="inlineStr">
        <is>
          <t>Villanueva C, et al. NEJM 2013;368(1):11-21</t>
        </is>
      </c>
      <c r="G62" s="6" t="inlineStr">
        <is>
          <t>10.1056/NEJMoa1211801</t>
        </is>
      </c>
      <c r="H62" s="6" t="inlineStr">
        <is>
          <t>23281973</t>
        </is>
      </c>
      <c r="I62" s="2" t="inlineStr">
        <is>
          <t>RESTRICTED</t>
        </is>
      </c>
      <c r="J62" s="2" t="inlineStr">
        <is>
          <t>本文未閲覧。転帰の数値は主張文に含めない</t>
        </is>
      </c>
      <c r="K62" s="2" t="inlineStr">
        <is>
          <t>PS-02-08-05 (id: JkxnuRY)；TBL-02-07-019 (id: JlAKpkg)</t>
        </is>
      </c>
      <c r="L62" s="2" t="inlineStr">
        <is>
          <t>医学総論 Ⅸ-3-B-①（輸血の適応と一般的注意、-）；医学総論 Ⅵ-5-F-①（吐血、-）</t>
        </is>
      </c>
      <c r="M62" s="2" t="inlineStr">
        <is>
          <t>[2026-10-12] 統合：本文を v2 の ES-R10（raw/01b_esophagus_v2.md）で全文置換。ID は v1 の ES-063 を引き継ぐ。置換前の v1 本文は git 履歴の data/facts/_staging_ES_v1.yaml にある（proposals/es_merge_map.csv、claude-code（人間が2026-10-12にチャットで委任））
[2026-10-12] status draft → verified_sources（識別子・ライセンスを API で照合済み、主張文の数値・推奨を一次資料と照合：Villanueva C, NEJM 2013（PMID 23281973）の抄録：921例、Hb 7 対 9 g/dL。人間が2026-10-12にチャットで委任）</t>
        </is>
      </c>
      <c r="N62" s="3" t="inlineStr"/>
      <c r="O62" s="3" t="inlineStr"/>
      <c r="P62" s="3" t="inlineStr"/>
    </row>
    <row r="63">
      <c r="A63" s="2" t="inlineStr">
        <is>
          <t>ES-064</t>
        </is>
      </c>
      <c r="B63" s="2" t="inlineStr">
        <is>
          <t>verified_sources</t>
        </is>
      </c>
      <c r="C63" s="2" t="inlineStr">
        <is>
          <t>Baveno VIIは、出血リスクの高い症例に72時間以内（可能なら24時間以内）の先制的TIPSを勧めている。対象は、Child-Pugh Cで14点未満、内視鏡時に活動性出血のあるChild-Pugh Bで7点超、または出血時のHVPGが20 mmHg超の症例である。</t>
        </is>
      </c>
      <c r="D63" s="2" t="inlineStr">
        <is>
          <t>region: 欧州</t>
        </is>
      </c>
      <c r="E63" s="2" t="inlineStr">
        <is>
          <t>鑑別：止血できない場合などに行う救済TIPSとは別
誤解：Child-Pugh 14〜15点の最重症例ほど恩恵が大きいと考える（対象外）</t>
        </is>
      </c>
      <c r="F63" s="2" t="inlineStr">
        <is>
          <t>de Franchis R, et al. Baveno VII. J Hepatol 2022;76:959-974</t>
        </is>
      </c>
      <c r="G63" s="6" t="inlineStr">
        <is>
          <t>10.1016/j.jhep.2021.12.022</t>
        </is>
      </c>
      <c r="H63" s="6" t="inlineStr">
        <is>
          <t>35120736</t>
        </is>
      </c>
      <c r="I63" s="2" t="inlineStr">
        <is>
          <t>RESTRICTED</t>
        </is>
      </c>
      <c r="J63" s="2" t="inlineStr">
        <is>
          <t>low</t>
        </is>
      </c>
      <c r="K63" s="2" t="inlineStr">
        <is>
          <t>PS-02-08-05 (id: JkxnuRY)；TBL-02-07-034 (id: JlAKplU)</t>
        </is>
      </c>
      <c r="L63" s="2" t="inlineStr">
        <is>
          <t>医学各論 Ⅵ-1-D-①（食道静脈瘤（備考：胃静脈瘤、BRTO）、a）</t>
        </is>
      </c>
      <c r="M63" s="2" t="inlineStr">
        <is>
          <t>[2026-10-12] status draft → verified_sources（識別子・ライセンスを API で照合済み、主張文の数値・推奨を一次資料と照合：Baveno VII 本文（PMC11090185、著者稿）。人間が2026-10-12にチャットで委任）</t>
        </is>
      </c>
      <c r="N63" s="3" t="inlineStr"/>
      <c r="O63" s="3" t="inlineStr"/>
      <c r="P63" s="3" t="inlineStr"/>
    </row>
    <row r="64">
      <c r="A64" s="2" t="inlineStr">
        <is>
          <t>ES-065</t>
        </is>
      </c>
      <c r="B64" s="2" t="inlineStr">
        <is>
          <t>verified_sources</t>
        </is>
      </c>
      <c r="C64" s="2" t="inlineStr">
        <is>
          <t>急性静脈瘤出血を起こした高リスクの肝硬変（Child-Pugh C 10〜13点、またはBで活動性出血）では、72時間以内の早期TIPSが標準治療に比べ生存を改善した。</t>
        </is>
      </c>
      <c r="D64" s="2" t="inlineStr">
        <is>
          <t>高リスクの急性静脈瘤出血</t>
        </is>
      </c>
      <c r="E64" s="2" t="inlineStr">
        <is>
          <t>鑑別：救済（rescue）TIPS
誤解：全例に早期TIPSが適応になるわけではない</t>
        </is>
      </c>
      <c r="F64" s="2" t="inlineStr">
        <is>
          <t>García-Pagán JC, et al. NEJM 2010</t>
        </is>
      </c>
      <c r="G64" s="6" t="inlineStr">
        <is>
          <t>10.1056/NEJMoa0910102</t>
        </is>
      </c>
      <c r="H64" s="6" t="inlineStr">
        <is>
          <t>20573925</t>
        </is>
      </c>
      <c r="I64" s="2" t="inlineStr">
        <is>
          <t>RESTRICTED</t>
        </is>
      </c>
      <c r="J64" s="2" t="inlineStr">
        <is>
          <t>PMIDは依頼者提示の値で、本セッションでは独立に照合していない</t>
        </is>
      </c>
      <c r="K64" s="2" t="inlineStr">
        <is>
          <t>PS-02-08-05 (id: JkxnuRY)；TBL-02-07-019 (id: JlAKpkg)</t>
        </is>
      </c>
      <c r="L64" s="2" t="inlineStr">
        <is>
          <t>医学各論 Ⅵ-1-D-①（食道静脈瘤（備考：胃静脈瘤、BRTO）、a）</t>
        </is>
      </c>
      <c r="M64" s="2" t="inlineStr">
        <is>
          <t>[2026-10-12] 統合：本文を v2 の ES-R11（raw/01b_esophagus_v2.md）で全文置換。ID は v1 の ES-065 を引き継ぐ。置換前の v1 本文は git 履歴の data/facts/_staging_ES_v1.yaml にある（proposals/es_merge_map.csv、claude-code（人間が2026-10-12にチャットで委任））
[2026-10-12] status draft → verified_sources（識別子・ライセンスを API で照合済み、主張文の数値・推奨を一次資料と照合：García-Pagán JC, NEJM 2010（PMID 20573925）の抄録：63例、1年生存 86%対61%。人間が2026-10-12にチャットで委任）</t>
        </is>
      </c>
      <c r="N64" s="3" t="inlineStr"/>
      <c r="O64" s="3" t="inlineStr"/>
      <c r="P64" s="3" t="inlineStr"/>
    </row>
    <row r="65">
      <c r="A65" s="2" t="inlineStr">
        <is>
          <t>ES-066</t>
        </is>
      </c>
      <c r="B65" s="2" t="inlineStr">
        <is>
          <t>draft</t>
        </is>
      </c>
      <c r="C65" s="2" t="inlineStr">
        <is>
          <t>日本の肝硬変診療ガイドライン2020では、食道静脈瘤の初回出血予防にEVLとNSBBがともに有用とされる。再発予防ではEVLとEISの両方が提案されている。胃静脈瘤にはB-RTOが有用とされ、国内研究ではNBCAによるEISより再出血の予防に優れていた。</t>
        </is>
      </c>
      <c r="D65" s="2" t="inlineStr">
        <is>
          <t>肝硬変に伴う食道・胃静脈瘤</t>
        </is>
      </c>
      <c r="E65" s="2" t="inlineStr">
        <is>
          <t>鑑別：Baveno VII（カルベジロールを優先する国際コンセンサス）
誤解：日本ではEISが今も選択肢であり、EVLに一本化されているわけではない</t>
        </is>
      </c>
      <c r="F65" s="2" t="inlineStr">
        <is>
          <t>Yoshiji H, et al. Evidence-based clinical practice guidelines for Liver Cirrhosis 2020. J Gastroenterol 2021;56:593-619</t>
        </is>
      </c>
      <c r="G65" s="6" t="inlineStr">
        <is>
          <t>10.1007/s00535-021-01788-x</t>
        </is>
      </c>
      <c r="H65" s="6" t="inlineStr">
        <is>
          <t>34231046</t>
        </is>
      </c>
      <c r="I65" s="2" t="inlineStr">
        <is>
          <t>OPEN</t>
        </is>
      </c>
      <c r="J65" s="2" t="inlineStr">
        <is>
          <t>2025年版の推奨は未確認</t>
        </is>
      </c>
      <c r="K65" s="2" t="inlineStr">
        <is>
          <t>PS-02-08-05 (id: JkxnuRY)；TBL-02-07-033 (id: JlAKplQ)</t>
        </is>
      </c>
      <c r="L65" s="2" t="inlineStr">
        <is>
          <t>医学各論 Ⅵ-1-D-①（食道静脈瘤（備考：胃静脈瘤、BRTO）、a）</t>
        </is>
      </c>
      <c r="M65" s="2" t="inlineStr">
        <is>
          <t>[2026-10-12] 統合：本文を v2 の ES-R18（raw/01b_esophagus_v2.md）で全文置換。ID は v1 の ES-066 を引き継ぐ。置換前の v1 本文は git 履歴の data/facts/_staging_ES_v1.yaml にある（proposals/es_merge_map.csv、claude-code（人間が2026-10-12にチャットで委任））</t>
        </is>
      </c>
      <c r="N65" s="3" t="inlineStr"/>
      <c r="O65" s="3" t="inlineStr"/>
      <c r="P65" s="3" t="inlineStr"/>
    </row>
    <row r="66">
      <c r="A66" s="2" t="inlineStr">
        <is>
          <t>ES-069</t>
        </is>
      </c>
      <c r="B66" s="2" t="inlineStr">
        <is>
          <t>draft</t>
        </is>
      </c>
      <c r="C66" s="2" t="inlineStr">
        <is>
          <t>食道を完全に閉塞した異物、食道内の鋭的異物、食道内の電池は、緊急（できれば2時間以内、遅くとも6時間以内）に内視鏡で摘出する。</t>
        </is>
      </c>
      <c r="D66" s="2" t="inlineStr">
        <is>
          <t>成人の上部消化管異物</t>
        </is>
      </c>
      <c r="E66" s="2" t="inlineStr">
        <is>
          <t>鑑別：胃内にある異物（24時間以内の準緊急）
誤解：症状が軽いボタン電池でも待機してはならない</t>
        </is>
      </c>
      <c r="F66" s="2" t="inlineStr">
        <is>
          <t>Birk M, et al. ESGE Clinical Guideline. Endoscopy 2016;48:489-496（推奨7）</t>
        </is>
      </c>
      <c r="G66" s="6" t="inlineStr">
        <is>
          <t>10.1055/s-0042-100456</t>
        </is>
      </c>
      <c r="H66" s="6" t="inlineStr">
        <is>
          <t>26862844</t>
        </is>
      </c>
      <c r="I66" s="2" t="inlineStr">
        <is>
          <t>UNKNOWN</t>
        </is>
      </c>
      <c r="J66" s="2" t="inlineStr">
        <is>
          <t>小児はESPGHANなど別のGLの対象</t>
        </is>
      </c>
      <c r="K66" s="2" t="inlineStr">
        <is>
          <t>PS-02-08-05 (id: JkxnuRY)；TBL-02-07-030 (id: JlAKplE)</t>
        </is>
      </c>
      <c r="L66" s="2" t="inlineStr">
        <is>
          <t>該当なし</t>
        </is>
      </c>
      <c r="M66" s="2" t="inlineStr"/>
      <c r="N66" s="3" t="inlineStr"/>
      <c r="O66" s="3" t="inlineStr"/>
      <c r="P66" s="3" t="inlineStr"/>
    </row>
    <row r="67">
      <c r="A67" s="2" t="inlineStr">
        <is>
          <t>ES-070</t>
        </is>
      </c>
      <c r="B67" s="2" t="inlineStr">
        <is>
          <t>draft</t>
        </is>
      </c>
      <c r="C67" s="2" t="inlineStr">
        <is>
          <t>完全閉塞のない食道異物は24時間以内に摘出する。胃内の鋭的異物、磁石、電池、大きい・長い異物も24時間以内の内視鏡摘出が推奨される。</t>
        </is>
      </c>
      <c r="D67" s="2" t="inlineStr">
        <is>
          <t>成人の上部消化管異物</t>
        </is>
      </c>
      <c r="E67" s="2" t="inlineStr">
        <is>
          <t>鑑別：小さく鈍的な無症状の異物（経過観察）
誤解：磁石は1個だけに見えても準緊急で摘出する</t>
        </is>
      </c>
      <c r="F67" s="2" t="inlineStr">
        <is>
          <t>ESGE異物GL 2016（推奨7・10）</t>
        </is>
      </c>
      <c r="G67" s="6" t="inlineStr">
        <is>
          <t>10.1055/s-0042-100456</t>
        </is>
      </c>
      <c r="H67" s="6" t="inlineStr">
        <is>
          <t>26862844</t>
        </is>
      </c>
      <c r="I67" s="2" t="inlineStr">
        <is>
          <t>UNKNOWN</t>
        </is>
      </c>
      <c r="J67" s="2" t="inlineStr">
        <is>
          <t>なし</t>
        </is>
      </c>
      <c r="K67" s="2" t="inlineStr">
        <is>
          <t>PS-02-08-05 (id: JkxnuRY)</t>
        </is>
      </c>
      <c r="L67" s="2" t="inlineStr">
        <is>
          <t>該当なし</t>
        </is>
      </c>
      <c r="M67" s="2" t="inlineStr"/>
      <c r="N67" s="3" t="inlineStr"/>
      <c r="O67" s="3" t="inlineStr"/>
      <c r="P67" s="3" t="inlineStr"/>
    </row>
    <row r="68">
      <c r="A68" s="2" t="inlineStr">
        <is>
          <t>ES-071</t>
        </is>
      </c>
      <c r="B68" s="2" t="inlineStr">
        <is>
          <t>draft</t>
        </is>
      </c>
      <c r="C68" s="2" t="inlineStr">
        <is>
          <t>鋭的異物を内視鏡で摘出するときは、食道・胃・咽頭の損傷と誤嚥を防ぐため保護具（オーバーチューブやフード）を使う。</t>
        </is>
      </c>
      <c r="D68" s="2" t="inlineStr">
        <is>
          <t>鋭的異物の摘出</t>
        </is>
      </c>
      <c r="E68" s="2" t="inlineStr">
        <is>
          <t>鑑別：鈍的異物
誤解：把持して引き抜くだけで安全なわけではない</t>
        </is>
      </c>
      <c r="F68" s="2" t="inlineStr">
        <is>
          <t>ESGE異物GL 2016（推奨11）</t>
        </is>
      </c>
      <c r="G68" s="6" t="inlineStr">
        <is>
          <t>10.1055/s-0042-100456</t>
        </is>
      </c>
      <c r="H68" s="6" t="inlineStr">
        <is>
          <t>26862844</t>
        </is>
      </c>
      <c r="I68" s="2" t="inlineStr">
        <is>
          <t>UNKNOWN</t>
        </is>
      </c>
      <c r="J68" s="2" t="inlineStr">
        <is>
          <t>なし</t>
        </is>
      </c>
      <c r="K68" s="2" t="inlineStr">
        <is>
          <t>PS-02-08-05 (id: JkxnuRY)；TBL-02-07-030 (id: JlAKplE)</t>
        </is>
      </c>
      <c r="L68" s="2" t="inlineStr">
        <is>
          <t>該当なし</t>
        </is>
      </c>
      <c r="M68" s="2" t="inlineStr"/>
      <c r="N68" s="3" t="inlineStr"/>
      <c r="O68" s="3" t="inlineStr"/>
      <c r="P68" s="3" t="inlineStr"/>
    </row>
    <row r="69">
      <c r="A69" s="2" t="inlineStr">
        <is>
          <t>ES-072</t>
        </is>
      </c>
      <c r="B69" s="2" t="inlineStr">
        <is>
          <t>draft</t>
        </is>
      </c>
      <c r="C69" s="2" t="inlineStr">
        <is>
          <t>食道の食物塊嵌頓は、内視鏡で胃内へ静かに押し込む方法が提案されている。食物塊嵌頓の背景には食道の基礎疾患（EoE、狭窄など）があることが多い。</t>
        </is>
      </c>
      <c r="D69" s="2" t="inlineStr">
        <is>
          <t>食物塊嵌頓</t>
        </is>
      </c>
      <c r="E69" s="2" t="inlineStr">
        <is>
          <t>鑑別：EoE、ペプチック狭窄、食道癌
誤解：摘出して終わりにせず、基礎疾患の検索（生検を含む）が必要</t>
        </is>
      </c>
      <c r="F69" s="2" t="inlineStr">
        <is>
          <t>ESGE異物GL 2016（推奨8）</t>
        </is>
      </c>
      <c r="G69" s="6" t="inlineStr">
        <is>
          <t>10.1055/s-0042-100456</t>
        </is>
      </c>
      <c r="H69" s="6" t="inlineStr">
        <is>
          <t>26862844</t>
        </is>
      </c>
      <c r="I69" s="2" t="inlineStr">
        <is>
          <t>UNKNOWN</t>
        </is>
      </c>
      <c r="J69" s="2" t="inlineStr">
        <is>
          <t>75%超の数値は同GL本文の記載で、原著は未確認</t>
        </is>
      </c>
      <c r="K69" s="2" t="inlineStr">
        <is>
          <t>PS-02-08-05 (id: JkxnuRY)；TBL-02-07-030 (id: JlAKplE)</t>
        </is>
      </c>
      <c r="L69" s="2" t="inlineStr">
        <is>
          <t>医学総論 Ⅵ-5-B（嚥下障害（嚥下痛・通過障害・誤嚥）、-）</t>
        </is>
      </c>
      <c r="M69" s="2" t="inlineStr"/>
      <c r="N69" s="3" t="inlineStr"/>
      <c r="O69" s="3" t="inlineStr"/>
      <c r="P69" s="3" t="inlineStr"/>
    </row>
    <row r="70">
      <c r="A70" s="2" t="inlineStr">
        <is>
          <t>ES-073</t>
        </is>
      </c>
      <c r="B70" s="2" t="inlineStr">
        <is>
          <t>draft</t>
        </is>
      </c>
      <c r="C70" s="2" t="inlineStr">
        <is>
          <t>腐食性物質を飲み込んだときは、嘔吐を誘発しない。胃洗浄もしない（再曝露で食道傷害が増える）。弱酸・弱アルカリによる中和は発熱反応で傷害を悪化させるおそれがあり推奨されない。</t>
        </is>
      </c>
      <c r="D70" s="2" t="inlineStr">
        <is>
          <t>酸・アルカリの誤飲・自殺企図</t>
        </is>
      </c>
      <c r="E70" s="2" t="inlineStr">
        <is>
          <t>鑑別：非腐食性の中毒（活性炭の適応を検討）
誤解：牛乳や活性炭は後の内視鏡の観察を妨げるため使わない</t>
        </is>
      </c>
      <c r="F70" s="2" t="inlineStr">
        <is>
          <t>Contini S, Scarpignato C. Caustic injury of the upper GI tract: a comprehensive review. World J Gastroenterol 2013;19(25):3918</t>
        </is>
      </c>
      <c r="G70" s="6" t="inlineStr">
        <is>
          <t>10.3748/wjg.v19.i25.3918</t>
        </is>
      </c>
      <c r="H70" s="6" t="inlineStr">
        <is>
          <t>23840136</t>
        </is>
      </c>
      <c r="I70" s="2" t="inlineStr">
        <is>
          <t>RESTRICTED</t>
        </is>
      </c>
      <c r="J70" s="2" t="inlineStr">
        <is>
          <t>medium（DOI・PMIDはAPIで確定。PMCでは抄録しか読めず、本文の記述は未照合）</t>
        </is>
      </c>
      <c r="K70" s="2" t="inlineStr">
        <is>
          <t>PS-02-08-05 (id: JkxnuRY)</t>
        </is>
      </c>
      <c r="L70" s="2" t="inlineStr">
        <is>
          <t>該当なし</t>
        </is>
      </c>
      <c r="M70" s="2" t="inlineStr">
        <is>
          <t>[2026-10-12] 内容照合による修正（人間が2026-10-12にチャットで委任）：Crossref の候補（著者・誌名・年・巻が一致）から DOI を設定。変更項目：provenance.doi。根拠：PubMed・Crossref の書誌
[2026-10-12] 内容照合による修正（人間が2026-10-12にチャットで委任）：識別子の確定を反映し、未照合の範囲を明記。変更項目：uncertainty。根拠：PubMed・Crossref の書誌</t>
        </is>
      </c>
      <c r="N70" s="3" t="inlineStr"/>
      <c r="O70" s="3" t="inlineStr"/>
      <c r="P70" s="3" t="inlineStr"/>
    </row>
    <row r="71">
      <c r="A71" s="2" t="inlineStr">
        <is>
          <t>ES-074</t>
        </is>
      </c>
      <c r="B71" s="2" t="inlineStr">
        <is>
          <t>verified_sources</t>
        </is>
      </c>
      <c r="C71" s="2" t="inlineStr">
        <is>
          <t>腐食性食道傷害の重症度はZargar分類で評価する。0（正常）、1（浮腫・発赤）、2a（表在性潰瘍・びらん・滲出物）、2b（2aに加え深い限局性または全周性の潰瘍）、3a（限局性壊死）、3b（広範な壊死）に分ける。</t>
        </is>
      </c>
      <c r="D71" s="2" t="inlineStr">
        <is>
          <t>受傷後早期の上部内視鏡</t>
        </is>
      </c>
      <c r="E71" s="2" t="inlineStr">
        <is>
          <t>鑑別：CTによる重症度評価
誤解：grade 4（穿孔）を加えた改変版もある</t>
        </is>
      </c>
      <c r="F71" s="2" t="inlineStr">
        <is>
          <t>Cheng HT, et al. Caustic ingestion in adults. BMC Gastroenterol 2008（表1）</t>
        </is>
      </c>
      <c r="G71" s="6" t="inlineStr">
        <is>
          <t>10.1186/1471-230X-8-31</t>
        </is>
      </c>
      <c r="H71" s="6" t="inlineStr">
        <is>
          <t>18655708</t>
        </is>
      </c>
      <c r="I71" s="2" t="inlineStr">
        <is>
          <t>RESTRICTED</t>
        </is>
      </c>
      <c r="J71" s="2" t="inlineStr">
        <is>
          <t>Zargar原著（Gastrointest Endosc 1991）は未閲覧</t>
        </is>
      </c>
      <c r="K71" s="2" t="inlineStr">
        <is>
          <t>PS-02-08-05 (id: JkxnuRY)</t>
        </is>
      </c>
      <c r="L71" s="2" t="inlineStr">
        <is>
          <t>該当なし</t>
        </is>
      </c>
      <c r="M71" s="2" t="inlineStr">
        <is>
          <t>[2026-10-12] status draft → verified_sources（識別子・ライセンスを API で照合済み、主張文の数値・推奨を一次資料と照合：Cheng HT, BMC Gastroenterol 2008（PMC2533005）の本文：Zargar の6段階分類。人間が2026-10-12にチャットで委任）</t>
        </is>
      </c>
      <c r="N71" s="3" t="inlineStr"/>
      <c r="O71" s="3" t="inlineStr"/>
      <c r="P71" s="3" t="inlineStr"/>
    </row>
    <row r="72">
      <c r="A72" s="2" t="inlineStr">
        <is>
          <t>ES-075</t>
        </is>
      </c>
      <c r="B72" s="2" t="inlineStr">
        <is>
          <t>draft</t>
        </is>
      </c>
      <c r="C72" s="2" t="inlineStr">
        <is>
          <t>腐食性食道傷害後の狭窄は、Zargar 2bで約71%、3でほぼ100%と報告されている。重症度が高いほど狭窄のリスクが高い。</t>
        </is>
      </c>
      <c r="D72" s="2" t="inlineStr">
        <is>
          <t>腐食性食道傷害の晩期合併症</t>
        </is>
      </c>
      <c r="E72" s="2" t="inlineStr">
        <is>
          <t>鑑別：腐食性傷害後の食道癌（長期の合併症）
誤解：急性期を乗り切っても狭窄の経過観察が必要</t>
        </is>
      </c>
      <c r="F72" s="2" t="inlineStr">
        <is>
          <t>Contini 2013 WJG</t>
        </is>
      </c>
      <c r="G72" s="6" t="inlineStr">
        <is>
          <t>10.3748/wjg.v19.i25.3918</t>
        </is>
      </c>
      <c r="H72" s="6" t="inlineStr">
        <is>
          <t>23840136</t>
        </is>
      </c>
      <c r="I72" s="2" t="inlineStr">
        <is>
          <t>RESTRICTED</t>
        </is>
      </c>
      <c r="J72" s="2" t="inlineStr">
        <is>
          <t>medium（報告によって2bは40〜60%とする記載もあり幅がある。PMCでは抄録しか読めず本文は未照合）</t>
        </is>
      </c>
      <c r="K72" s="2" t="inlineStr">
        <is>
          <t>PS-02-08-05 (id: JkxnuRY)</t>
        </is>
      </c>
      <c r="L72" s="2" t="inlineStr">
        <is>
          <t>該当なし</t>
        </is>
      </c>
      <c r="M72" s="2" t="inlineStr">
        <is>
          <t>[2026-10-12] 内容照合による修正（人間が2026-10-12にチャットで委任）：Crossref の候補（著者・誌名・年・巻が一致）から DOI を設定。変更項目：provenance.doi。根拠：PubMed・Crossref の書誌
[2026-10-12] 内容照合による修正（人間が2026-10-12にチャットで委任）：識別子の確定を反映し、未照合の範囲を明記。変更項目：uncertainty。根拠：PubMed・Crossref の書誌</t>
        </is>
      </c>
      <c r="N72" s="3" t="inlineStr"/>
      <c r="O72" s="3" t="inlineStr"/>
      <c r="P72" s="3" t="inlineStr"/>
    </row>
    <row r="73">
      <c r="A73" s="2" t="inlineStr">
        <is>
          <t>ES-076</t>
        </is>
      </c>
      <c r="B73" s="2" t="inlineStr">
        <is>
          <t>verified_sources</t>
        </is>
      </c>
      <c r="C73" s="2" t="inlineStr">
        <is>
          <t>食道裂孔ヘルニアで最も多いのはI型（滑脱型）で、横隔食道膜の弛緩により胃噴門部が縦隔へ脱出する。軸方向のずれが2 cmを超えれば、バリウム造影、内視鏡、内圧検査で診断できる。</t>
        </is>
      </c>
      <c r="D73" s="2" t="inlineStr">
        <is>
          <t>成人の食道裂孔ヘルニア</t>
        </is>
      </c>
      <c r="E73" s="2" t="inlineStr">
        <is>
          <t>鑑別：傍食道型（II型）・混合型（III型）・他臓器を含むIV型（本出典の抄録には記載なし）
誤解：小さな滑脱型ヘルニアも内視鏡や造影で常に確実に診断できると考える</t>
        </is>
      </c>
      <c r="F73" s="2" t="inlineStr">
        <is>
          <t>Kahrilas PJ, et al. Approaches to the diagnosis and grading of hiatal hernia. Best Pract Res Clin Gastroenterol 2008;22:601-616</t>
        </is>
      </c>
      <c r="G73" s="6" t="inlineStr">
        <is>
          <t>10.1016/j.bpg.2007.12.007</t>
        </is>
      </c>
      <c r="H73" s="6" t="inlineStr">
        <is>
          <t>18656819</t>
        </is>
      </c>
      <c r="I73" s="2" t="inlineStr">
        <is>
          <t>RESTRICTED</t>
        </is>
      </c>
      <c r="J73" s="2" t="inlineStr">
        <is>
          <t>low（抄録で照合）。II〜IV型の定義は未収載</t>
        </is>
      </c>
      <c r="K73" s="2" t="inlineStr">
        <is>
          <t>PS-02-08-05 (id: JkxnuRY)；TBL-02-07-004 (id: JlAKpjc)</t>
        </is>
      </c>
      <c r="L73" s="2" t="inlineStr">
        <is>
          <t>医学各論 Ⅵ-9-A-①（食道裂孔ヘルニア、a）</t>
        </is>
      </c>
      <c r="M73" s="2" t="inlineStr">
        <is>
          <t>[2026-10-12] 起票：欠番補完（人間が2026-10-12にチャットで委任）。出典を再調査し、自作文で作成。根拠：Kahrilas 2008（PMID 18656819）の抄録
[2026-10-12] status draft → verified_sources（識別子・ライセンスを API で照合済み、主張文の数値・推奨を一次資料と照合：起票時に照合した一次資料。人間が2026-10-12にチャットで委任）</t>
        </is>
      </c>
      <c r="N73" s="3" t="inlineStr"/>
      <c r="O73" s="3" t="inlineStr"/>
      <c r="P73" s="3" t="inlineStr"/>
    </row>
    <row r="74">
      <c r="A74" s="2" t="inlineStr">
        <is>
          <t>ES-077</t>
        </is>
      </c>
      <c r="B74" s="2" t="inlineStr">
        <is>
          <t>draft</t>
        </is>
      </c>
      <c r="C74" s="2" t="inlineStr">
        <is>
          <t>薬剤性食道炎の原因薬には、抗菌薬（テトラサイクリン系、特にドキシサイクリン）、ビスホスホネート、NSAIDs、塩化カリウム、鉄剤などがある。症状は胸骨後部痛、胸やけ、嚥下痛、嚥下障害で、多くは原因薬の中止と支持療法で改善する。</t>
        </is>
      </c>
      <c r="D74" s="2" t="inlineStr">
        <is>
          <t>内服薬による直接的な食道粘膜傷害</t>
        </is>
      </c>
      <c r="E74" s="2" t="inlineStr">
        <is>
          <t>鑑別：逆流性食道炎、感染性食道炎
誤解：少量の水で服用してすぐ横になっても問題ないと考える</t>
        </is>
      </c>
      <c r="F74" s="2" t="inlineStr">
        <is>
          <t>Abdi S, et al. Drug-induced esophagitis and helpful management for healthcare providers. Gastroenterol Hepatol Bed Bench 2022;15:219-224</t>
        </is>
      </c>
      <c r="G74" s="6" t="inlineStr">
        <is>
          <t>10.22037/ghfbb.v15i3.2591</t>
        </is>
      </c>
      <c r="H74" s="6" t="inlineStr">
        <is>
          <t>36311965</t>
        </is>
      </c>
      <c r="I74" s="2" t="inlineStr">
        <is>
          <t>UNKNOWN</t>
        </is>
      </c>
      <c r="J74" s="2" t="inlineStr">
        <is>
          <t>low（PMC本文で照合）。ライセンスは Phase 3 の照合で確定</t>
        </is>
      </c>
      <c r="K74" s="2" t="inlineStr">
        <is>
          <t>PS-02-08-05 (id: JkxnuRY)；TBL-02-07-025 (id: JlAKpkw)</t>
        </is>
      </c>
      <c r="L74" s="2" t="inlineStr">
        <is>
          <t>医学総論 Ⅵ-5-B（嚥下障害（嚥下痛・通過障害・誤嚥）、-）</t>
        </is>
      </c>
      <c r="M74" s="2" t="inlineStr">
        <is>
          <t>[2026-10-12] 起票：欠番補完（人間が2026-10-12にチャットで委任）。出典を再調査し、自作文で作成。根拠：Abdi 2022（PMC9589134）の本文</t>
        </is>
      </c>
      <c r="N74" s="3" t="inlineStr"/>
      <c r="O74" s="3" t="inlineStr"/>
      <c r="P74" s="3" t="inlineStr"/>
    </row>
    <row r="75">
      <c r="A75" s="2" t="inlineStr">
        <is>
          <t>ES-078</t>
        </is>
      </c>
      <c r="B75" s="2" t="inlineStr">
        <is>
          <t>verified_sources</t>
        </is>
      </c>
      <c r="C75" s="2" t="inlineStr">
        <is>
          <t>台湾の健診受診者（HIV陰性）11,802例では、生検で確認したカンジダ食道炎は0.4%だった。多変量解析での独立した危険因子は、高齢、慢性腎臓病、飲酒、ステロイド使用だった。</t>
        </is>
      </c>
      <c r="D75" s="2" t="inlineStr">
        <is>
          <t>HIV陰性の成人（健診の上部消化管内視鏡）</t>
        </is>
      </c>
      <c r="E75" s="2" t="inlineStr">
        <is>
          <t>鑑別：HIV感染者などの免疫不全者では頻度が高い。EoEの白斑との鑑別
誤解：カンジダ食道炎は免疫不全者にしか起こらないと考える</t>
        </is>
      </c>
      <c r="F75" s="2" t="inlineStr">
        <is>
          <t>Chen YH, et al. Prevalence and risk factors for Candida esophagitis among human immunodeficiency virus-negative individuals. World J Clin Cases 2022;10:10896-10905</t>
        </is>
      </c>
      <c r="G75" s="6" t="inlineStr">
        <is>
          <t>10.12998/wjcc.v10.i30.10896</t>
        </is>
      </c>
      <c r="H75" s="6" t="inlineStr">
        <is>
          <t>36338217</t>
        </is>
      </c>
      <c r="I75" s="2" t="inlineStr">
        <is>
          <t>UNKNOWN</t>
        </is>
      </c>
      <c r="J75" s="2" t="inlineStr">
        <is>
          <t>low（抄録で照合）。単施設の健診データ</t>
        </is>
      </c>
      <c r="K75" s="2" t="inlineStr">
        <is>
          <t>PS-02-08-05 (id: JkxnuRY)</t>
        </is>
      </c>
      <c r="L75" s="2" t="inlineStr">
        <is>
          <t>該当なし</t>
        </is>
      </c>
      <c r="M75" s="2" t="inlineStr">
        <is>
          <t>[2026-10-12] 起票：欠番補完（人間が2026-10-12にチャットで委任）。出典を再調査し、自作文で作成。根拠：Chen 2022（PMID 36338217）の抄録
[2026-10-12] status draft → verified_sources（識別子・ライセンスを API で照合済み、主張文の数値・推奨を一次資料と照合：起票時に照合した一次資料。人間が2026-10-12にチャットで委任）</t>
        </is>
      </c>
      <c r="N75" s="3" t="inlineStr"/>
      <c r="O75" s="3" t="inlineStr"/>
      <c r="P75" s="3" t="inlineStr"/>
    </row>
    <row r="76">
      <c r="A76" s="2" t="inlineStr">
        <is>
          <t>ES-079</t>
        </is>
      </c>
      <c r="B76" s="2" t="inlineStr">
        <is>
          <t>draft</t>
        </is>
      </c>
      <c r="C76" s="2" t="inlineStr">
        <is>
          <t>ヘルペス（HSV）食道炎では、ウイルス性の細胞変化（多核化、核の圧排、すりガラス状の核、Cowdry A型封入体）は潰瘍辺縁の扁平上皮に見られるため、辺縁から生検する。CMV食道炎の変化は潰瘍底の内皮細胞・間質細胞に見られるため、底部から生検する。</t>
        </is>
      </c>
      <c r="D76" s="2" t="inlineStr">
        <is>
          <t>免疫不全者の食道潰瘍</t>
        </is>
      </c>
      <c r="E76" s="2" t="inlineStr">
        <is>
          <t>鑑別：カンジダ食道炎、薬剤性食道炎
誤解：潰瘍の同じ部位を生検すれば両方が診断できるわけではない</t>
        </is>
      </c>
      <c r="F76" s="2" t="inlineStr">
        <is>
          <t>Esophageal CMV and HSV co-infection: case report and review. IDCases 2020</t>
        </is>
      </c>
      <c r="G76" s="6" t="inlineStr">
        <is>
          <t>10.1016/j.idcr.2020.e00925</t>
        </is>
      </c>
      <c r="H76" s="6" t="inlineStr">
        <is>
          <t>33005566</t>
        </is>
      </c>
      <c r="I76" s="2" t="inlineStr">
        <is>
          <t>RESTRICTED</t>
        </is>
      </c>
      <c r="J76" s="2" t="inlineStr">
        <is>
          <t>なし（2資料で一致）</t>
        </is>
      </c>
      <c r="K76" s="2" t="inlineStr">
        <is>
          <t>PS-03-03-03 (id: JkxnuUo)</t>
        </is>
      </c>
      <c r="L76" s="2" t="inlineStr">
        <is>
          <t>医学各論 Ⅻ-1-A-⑩（単純ヘルペスウイルス感染症、a）；医学各論 Ⅻ-1-A-⑭（サイトメガロウイルス感染症、a）</t>
        </is>
      </c>
      <c r="M76" s="2" t="inlineStr"/>
      <c r="N76" s="3" t="inlineStr"/>
      <c r="O76" s="3" t="inlineStr"/>
      <c r="P76" s="3" t="inlineStr"/>
    </row>
    <row r="77">
      <c r="A77" s="2" t="inlineStr">
        <is>
          <t>ES-080</t>
        </is>
      </c>
      <c r="B77" s="2" t="inlineStr">
        <is>
          <t>verified_sources</t>
        </is>
      </c>
      <c r="C77" s="2" t="inlineStr">
        <is>
          <t>内視鏡所見では、HSV食道炎は孤立性の潰瘍、小水疱、辺縁の隆起した（shouldered）潰瘍が多い。CMV食道炎は深い打ち抜き様の潰瘍、蛇行状の潰瘍、全周性の分布が多い。</t>
        </is>
      </c>
      <c r="D77" s="2" t="inlineStr">
        <is>
          <t>ウイルス性食道炎</t>
        </is>
      </c>
      <c r="E77" s="2" t="inlineStr">
        <is>
          <t>鑑別：カンジダ（白苔）
誤解：肉眼所見だけで確定せず、病理・免疫染色で確認する</t>
        </is>
      </c>
      <c r="F77" s="2" t="inlineStr">
        <is>
          <t>Can endoscopists differentiate CMV esophagitis from HSV esophagitis? Medicine 2019</t>
        </is>
      </c>
      <c r="G77" s="6" t="inlineStr">
        <is>
          <t>10.1097/MD.0000000000015845</t>
        </is>
      </c>
      <c r="H77" s="6" t="inlineStr">
        <is>
          <t>31169688</t>
        </is>
      </c>
      <c r="I77" s="2" t="inlineStr">
        <is>
          <t>RESTRICTED</t>
        </is>
      </c>
      <c r="J77" s="2" t="inlineStr">
        <is>
          <t>単一の後ろ向き研究</t>
        </is>
      </c>
      <c r="K77" s="2" t="inlineStr">
        <is>
          <t>PS-02-08-05 (id: JkxnuRY)；TBL-02-07-030 (id: JlAKplE)</t>
        </is>
      </c>
      <c r="L77" s="2" t="inlineStr">
        <is>
          <t>医学各論 Ⅻ-1-A-⑩（単純ヘルペスウイルス感染症、a）；医学各論 Ⅻ-1-A-⑭（サイトメガロウイルス感染症、a）</t>
        </is>
      </c>
      <c r="M77" s="2" t="inlineStr">
        <is>
          <t>[2026-10-12] status draft → verified_sources（識別子・ライセンスを API で照合済み、主張文の数値・推奨を一次資料と照合：Medicine 2019（PMC6571398）の本文：HSV と CMV の潰瘍形態、治療薬。人間が2026-10-12にチャットで委任）</t>
        </is>
      </c>
      <c r="N77" s="3" t="inlineStr"/>
      <c r="O77" s="3" t="inlineStr"/>
      <c r="P77" s="3" t="inlineStr"/>
    </row>
    <row r="78">
      <c r="A78" s="2" t="inlineStr">
        <is>
          <t>ES-081</t>
        </is>
      </c>
      <c r="B78" s="2" t="inlineStr">
        <is>
          <t>verified_sources</t>
        </is>
      </c>
      <c r="C78" s="2" t="inlineStr">
        <is>
          <t>HSV食道炎の治療薬はアシクロビル、CMV食道炎の治療薬はガンシクロビル（または経口のバルガンシクロビル）である。</t>
        </is>
      </c>
      <c r="D78" s="2" t="inlineStr">
        <is>
          <t>ウイルス性食道炎</t>
        </is>
      </c>
      <c r="E78" s="2" t="inlineStr">
        <is>
          <t>鑑別：アシクロビル耐性HSV（ホスカルネット）
誤解：アシクロビルはCMVに十分な効果がない</t>
        </is>
      </c>
      <c r="F78" s="2" t="inlineStr">
        <is>
          <t>Medicine 2019（確定診断後の治療薬）</t>
        </is>
      </c>
      <c r="G78" s="6" t="inlineStr">
        <is>
          <t>10.1097/MD.0000000000015845</t>
        </is>
      </c>
      <c r="H78" s="6" t="inlineStr">
        <is>
          <t>31169688</t>
        </is>
      </c>
      <c r="I78" s="2" t="inlineStr">
        <is>
          <t>RESTRICTED</t>
        </is>
      </c>
      <c r="J78" s="2" t="inlineStr">
        <is>
          <t>投与期間は未確認</t>
        </is>
      </c>
      <c r="K78" s="2" t="inlineStr">
        <is>
          <t>PS-02-08-05 (id: JkxnuRY)</t>
        </is>
      </c>
      <c r="L78" s="2" t="inlineStr">
        <is>
          <t>医学各論 Ⅻ-1-A-⑩（単純ヘルペスウイルス感染症、a）；医学各論 Ⅻ-1-A-⑭（サイトメガロウイルス感染症、a）</t>
        </is>
      </c>
      <c r="M78" s="2" t="inlineStr">
        <is>
          <t>[2026-10-12] status draft → verified_sources（識別子・ライセンスを API で照合済み、主張文の数値・推奨を一次資料と照合：Medicine 2019（PMC6571398）の本文：HSV と CMV の潰瘍形態、治療薬。人間が2026-10-12にチャットで委任）</t>
        </is>
      </c>
      <c r="N78" s="3" t="inlineStr"/>
      <c r="O78" s="3" t="inlineStr"/>
      <c r="P78" s="3" t="inlineStr"/>
    </row>
    <row r="79">
      <c r="A79" s="2" t="inlineStr">
        <is>
          <t>ES-082</t>
        </is>
      </c>
      <c r="B79" s="2" t="inlineStr">
        <is>
          <t>verified_sources</t>
        </is>
      </c>
      <c r="C79" s="2" t="inlineStr">
        <is>
          <t>Plummer-Vinson症候群は、嚥下障害、鉄欠乏性貧血、食道web（膜様狭窄）の三徴を示すまれな疾患で、中年の女性に多い。治療は鉄補充と、必要に応じたwebの拡張である。咽頭・食道の扁平上皮癌のリスクが高いため経過観察が必要である。</t>
        </is>
      </c>
      <c r="D79" s="2" t="inlineStr">
        <is>
          <t>鉄欠乏を伴う頸部食道のweb</t>
        </is>
      </c>
      <c r="E79" s="2" t="inlineStr">
        <is>
          <t>鑑別：食道癌、好酸球性食道炎による狭窄
誤解：鉄欠乏を補正すれば発癌リスクの経過観察は不要と考える</t>
        </is>
      </c>
      <c r="F79" s="2" t="inlineStr">
        <is>
          <t>Novacek G. Plummer-Vinson syndrome. Orphanet J Rare Dis 2006;1:36</t>
        </is>
      </c>
      <c r="G79" s="6" t="inlineStr">
        <is>
          <t>10.1186/1750-1172-1-36</t>
        </is>
      </c>
      <c r="H79" s="6" t="inlineStr">
        <is>
          <t>16978405</t>
        </is>
      </c>
      <c r="I79" s="2" t="inlineStr">
        <is>
          <t>OPEN</t>
        </is>
      </c>
      <c r="J79" s="2" t="inlineStr">
        <is>
          <t>low（抄録で照合）</t>
        </is>
      </c>
      <c r="K79" s="2" t="inlineStr">
        <is>
          <t>PS-02-08-05 (id: JkxnuRY)</t>
        </is>
      </c>
      <c r="L79" s="2" t="inlineStr">
        <is>
          <t>医学各論 Ⅶ-1-A-①（鉄欠乏性貧血、a）；医学総論 Ⅵ-5-B（嚥下障害（嚥下痛・通過障害・誤嚥）、-）</t>
        </is>
      </c>
      <c r="M79" s="2" t="inlineStr">
        <is>
          <t>[2026-10-12] 起票：欠番補完（人間が2026-10-12にチャットで委任）。出典を再調査し、自作文で作成。根拠：Novacek 2006（PMID 16978405）の抄録
[2026-10-12] status draft → verified_sources（識別子・ライセンスを API で照合済み、主張文の数値・推奨を一次資料と照合：起票時に照合した一次資料。人間が2026-10-12にチャットで委任）</t>
        </is>
      </c>
      <c r="N79" s="3" t="inlineStr"/>
      <c r="O79" s="3" t="inlineStr"/>
      <c r="P79" s="3" t="inlineStr"/>
    </row>
    <row r="80">
      <c r="A80" s="2" t="inlineStr">
        <is>
          <t>ES-083</t>
        </is>
      </c>
      <c r="B80" s="2" t="inlineStr">
        <is>
          <t>verified_sources</t>
        </is>
      </c>
      <c r="C80" s="2" t="inlineStr">
        <is>
          <t>Zenker憩室は、下咽頭収縮筋の斜走部と輪状咽頭筋の間の脆弱部（Killian三角）から粘膜・粘膜下層が後方へ突出する圧出性憩室で、下咽頭憩室で最も多い。70〜80歳代の男性に多く、嚥下障害が80〜90%にみられる。治療の要点は輪状咽頭筋の切開である。</t>
        </is>
      </c>
      <c r="D80" s="2" t="inlineStr">
        <is>
          <t>高齢者の嚥下障害・未消化物の逆流</t>
        </is>
      </c>
      <c r="E80" s="2" t="inlineStr">
        <is>
          <t>鑑別：食道中部の牽引性憩室、横隔膜上憩室
誤解：憩室を切除するだけで輪状咽頭筋を処理しなくてよいと考える</t>
        </is>
      </c>
      <c r="F80" s="2" t="inlineStr">
        <is>
          <t>Dell'Anna G, et al. The endoscopic management of Zenker's diverticulum: a comprehensive review. Diagnostics (Basel) 2024;14:2155</t>
        </is>
      </c>
      <c r="G80" s="6" t="inlineStr">
        <is>
          <t>10.3390/diagnostics14192155</t>
        </is>
      </c>
      <c r="H80" s="6" t="inlineStr">
        <is>
          <t>39410559</t>
        </is>
      </c>
      <c r="I80" s="2" t="inlineStr">
        <is>
          <t>OPEN</t>
        </is>
      </c>
      <c r="J80" s="2" t="inlineStr">
        <is>
          <t>low（PMC本文で照合）</t>
        </is>
      </c>
      <c r="K80" s="2" t="inlineStr">
        <is>
          <t>PS-02-08-05 (id: JkxnuRY)</t>
        </is>
      </c>
      <c r="L80" s="2" t="inlineStr">
        <is>
          <t>医学総論 Ⅵ-5-B（嚥下障害（嚥下痛・通過障害・誤嚥）、-）</t>
        </is>
      </c>
      <c r="M80" s="2" t="inlineStr">
        <is>
          <t>[2026-10-12] 起票：欠番補完（人間が2026-10-12にチャットで委任）。出典を再調査し、自作文で作成。根拠：Dell'Anna 2024（PMC11475965、CC BY）の本文
[2026-10-12] status draft → verified_sources（識別子・ライセンスを API で照合済み、主張文の数値・推奨を一次資料と照合：起票時に照合した一次資料。人間が2026-10-12にチャットで委任）</t>
        </is>
      </c>
      <c r="N80" s="3" t="inlineStr"/>
      <c r="O80" s="3" t="inlineStr"/>
      <c r="P80" s="3" t="inlineStr"/>
    </row>
    <row r="81">
      <c r="A81" s="2" t="inlineStr">
        <is>
          <t>ES-084</t>
        </is>
      </c>
      <c r="B81" s="2" t="inlineStr">
        <is>
          <t>verified_sources</t>
        </is>
      </c>
      <c r="C81" s="2" t="inlineStr">
        <is>
          <t>Mallory-Weiss症候群（嘔吐などによる食道胃接合部の粘膜裂創）は多くが自然に止血し、緊急の内視鏡治療を要しないことが多い。ドイツの全国入院データ（2010〜2019年、59,291例）では、内視鏡的止血は局注13.7%、クリップ12.8%、外科治療は0.1%で、院内死亡率は2.7%だった。</t>
        </is>
      </c>
      <c r="D81" s="2" t="inlineStr">
        <is>
          <t>嘔吐・えずきの後の吐血</t>
        </is>
      </c>
      <c r="E81" s="2" t="inlineStr">
        <is>
          <t>鑑別：Boerhaave症候群（全層性破裂、ES-085〜087）、静脈瘤出血
誤解：Mallory-Weiss症候群は全例で内視鏡的止血が必要と考える</t>
        </is>
      </c>
      <c r="F81" s="2" t="inlineStr">
        <is>
          <t>Mertens A, et al. A systematic analysis of incidence, therapeutic strategies, and in-hospital mortality of Mallory-Weiss syndrome in Germany. J Clin Gastroenterol 2024;58:640-649</t>
        </is>
      </c>
      <c r="G81" s="6" t="inlineStr">
        <is>
          <t>10.1097/MCG.0000000000001918</t>
        </is>
      </c>
      <c r="H81" s="6" t="inlineStr">
        <is>
          <t>37668412</t>
        </is>
      </c>
      <c r="I81" s="2" t="inlineStr">
        <is>
          <t>UNKNOWN</t>
        </is>
      </c>
      <c r="J81" s="2" t="inlineStr">
        <is>
          <t>low（抄録で照合）</t>
        </is>
      </c>
      <c r="K81" s="2" t="inlineStr">
        <is>
          <t>PS-02-08-05 (id: JkxnuRY)；TBL-02-07-033 (id: JlAKplQ)</t>
        </is>
      </c>
      <c r="L81" s="2" t="inlineStr">
        <is>
          <t>医学各論 Ⅵ-1-E-①（Mallory-Weiss症候群、a）</t>
        </is>
      </c>
      <c r="M81" s="2" t="inlineStr">
        <is>
          <t>[2026-10-12] 起票：欠番補完（人間が2026-10-12にチャットで委任）。出典を再調査し、自作文で作成。根拠：Mertens 2024（PMID 37668412）の抄録
[2026-10-12] status draft → verified_sources（識別子・ライセンスを API で照合済み、主張文の数値・推奨を一次資料と照合：起票時に照合した一次資料。人間が2026-10-12にチャットで委任）</t>
        </is>
      </c>
      <c r="N81" s="3" t="inlineStr"/>
      <c r="O81" s="3" t="inlineStr"/>
      <c r="P81" s="3" t="inlineStr"/>
    </row>
    <row r="82">
      <c r="A82" s="2" t="inlineStr">
        <is>
          <t>ES-085</t>
        </is>
      </c>
      <c r="B82" s="2" t="inlineStr">
        <is>
          <t>draft</t>
        </is>
      </c>
      <c r="C82" s="2" t="inlineStr">
        <is>
          <t>Boerhaave症候群（特発性食道破裂）が疑われるとき、経口造影剤を併用した造影CTが優先される検査であり、感度は92〜100%と報告されている。CTでは縦隔気腫、縦隔の液体貯留、胸水、縦隔炎の評価もできる。</t>
        </is>
      </c>
      <c r="D82" s="2" t="inlineStr">
        <is>
          <t>激しい嘔吐の後の胸痛・縦隔気腫</t>
        </is>
      </c>
      <c r="E82" s="2" t="inlineStr">
        <is>
          <t>鑑別：急性冠症候群、大動脈解離、特発性縦隔気腫
誤解：胸部単純X線で異常がなくても否定できない</t>
        </is>
      </c>
      <c r="F82" s="2" t="inlineStr">
        <is>
          <t>Boerhaave Syndrome—Narrative Review. Diagnostics 2025;15(19):2463</t>
        </is>
      </c>
      <c r="G82" s="6" t="inlineStr">
        <is>
          <t>10.3390/diagnostics15192463</t>
        </is>
      </c>
      <c r="H82" s="6" t="inlineStr">
        <is>
          <t>41095682</t>
        </is>
      </c>
      <c r="I82" s="2" t="inlineStr">
        <is>
          <t>OPEN</t>
        </is>
      </c>
      <c r="J82" s="2" t="inlineStr">
        <is>
          <t>感度は総説が引用した値で、原著は未確認</t>
        </is>
      </c>
      <c r="K82" s="2" t="inlineStr">
        <is>
          <t>PS-02-08-05 (id: JkxnuRY)</t>
        </is>
      </c>
      <c r="L82" s="2" t="inlineStr">
        <is>
          <t>医学各論 Ⅵ-1-E-②（食道穿孔・破裂（備考：Boerhaave症候群）、b）</t>
        </is>
      </c>
      <c r="M82" s="2" t="inlineStr"/>
      <c r="N82" s="3" t="inlineStr"/>
      <c r="O82" s="3" t="inlineStr"/>
      <c r="P82" s="3" t="inlineStr"/>
    </row>
    <row r="83">
      <c r="A83" s="2" t="inlineStr">
        <is>
          <t>ES-086</t>
        </is>
      </c>
      <c r="B83" s="2" t="inlineStr">
        <is>
          <t>verified_sources</t>
        </is>
      </c>
      <c r="C83" s="2" t="inlineStr">
        <is>
          <t>食道破裂を疑って食道造影を行う場合は、バリウムが縦隔に漏れると重い縦隔炎を起こすため、水溶性造影剤を使う。水溶性造影剤では22〜50%の穿孔を見逃すことがあるため、陰性でも否定はできない。</t>
        </is>
      </c>
      <c r="D83" s="2" t="inlineStr">
        <is>
          <t>食道穿孔の疑い</t>
        </is>
      </c>
      <c r="E83" s="2" t="inlineStr">
        <is>
          <t>鑑別：誤嚥の危険がある例
誤解：造影が陰性でも穿孔は否定できない</t>
        </is>
      </c>
      <c r="F83" s="2" t="inlineStr">
        <is>
          <t>Diagnostics 2025;15(19):2463</t>
        </is>
      </c>
      <c r="G83" s="6" t="inlineStr">
        <is>
          <t>10.3390/diagnostics15192463</t>
        </is>
      </c>
      <c r="H83" s="6" t="inlineStr">
        <is>
          <t>41095682</t>
        </is>
      </c>
      <c r="I83" s="2" t="inlineStr">
        <is>
          <t>OPEN</t>
        </is>
      </c>
      <c r="J83" s="2" t="inlineStr">
        <is>
          <t>なし</t>
        </is>
      </c>
      <c r="K83" s="2" t="inlineStr">
        <is>
          <t>PS-02-08-05 (id: JkxnuRY)</t>
        </is>
      </c>
      <c r="L83" s="2" t="inlineStr">
        <is>
          <t>医学各論 Ⅵ-1-E-②（食道穿孔・破裂（備考：Boerhaave症候群）、b）</t>
        </is>
      </c>
      <c r="M83" s="2" t="inlineStr">
        <is>
          <t>[2026-10-12] status draft → verified_sources（識別子・ライセンスを API で照合済み、主張文の数値・推奨を一次資料と照合：Boerhaave Syndrome—Narrative Review, Diagnostics 2025（PMC12524210、CC BY）の本文：水溶性造影剤で22〜50%の穿孔を見逃す。人間が2026-10-12にチャットで委任）</t>
        </is>
      </c>
      <c r="N83" s="3" t="inlineStr"/>
      <c r="O83" s="3" t="inlineStr"/>
      <c r="P83" s="3" t="inlineStr"/>
    </row>
    <row r="84">
      <c r="A84" s="2" t="inlineStr">
        <is>
          <t>ES-087</t>
        </is>
      </c>
      <c r="B84" s="2" t="inlineStr">
        <is>
          <t>draft</t>
        </is>
      </c>
      <c r="C84" s="2" t="inlineStr">
        <is>
          <t>Boerhaave症候群の治療は、穿孔の早期の閉鎖・制御と感染（縦隔・胸腔）のドレナージが原則である。現在は、外科的修復に加え、ステントや内視鏡的陰圧閉鎖療法などの低侵襲治療を組み合わせる。</t>
        </is>
      </c>
      <c r="D84" s="2" t="inlineStr">
        <is>
          <t>特発性食道破裂</t>
        </is>
      </c>
      <c r="E84" s="2" t="inlineStr">
        <is>
          <t>鑑別：医原性穿孔
誤解：治療の遅れは死亡率を大きく高める</t>
        </is>
      </c>
      <c r="F84" s="2" t="inlineStr">
        <is>
          <t>Diagnostics 2025;15(19):2463</t>
        </is>
      </c>
      <c r="G84" s="6" t="inlineStr">
        <is>
          <t>10.3390/diagnostics15192463</t>
        </is>
      </c>
      <c r="H84" s="6" t="inlineStr">
        <is>
          <t>41095682</t>
        </is>
      </c>
      <c r="I84" s="2" t="inlineStr">
        <is>
          <t>OPEN</t>
        </is>
      </c>
      <c r="J84" s="2" t="inlineStr">
        <is>
          <t>治療の選択基準と死亡率の数値は未確認</t>
        </is>
      </c>
      <c r="K84" s="2" t="inlineStr">
        <is>
          <t>PS-02-08-05 (id: JkxnuRY)；TBL-02-07-033 (id: JlAKplQ)</t>
        </is>
      </c>
      <c r="L84" s="2" t="inlineStr">
        <is>
          <t>医学各論 Ⅵ-1-E-②（食道穿孔・破裂（備考：Boerhaave症候群）、b）</t>
        </is>
      </c>
      <c r="M84" s="2" t="inlineStr"/>
      <c r="N84" s="3" t="inlineStr"/>
      <c r="O84" s="3" t="inlineStr"/>
      <c r="P84" s="3" t="inlineStr"/>
    </row>
    <row r="85">
      <c r="A85" s="2" t="inlineStr">
        <is>
          <t>ES-088</t>
        </is>
      </c>
      <c r="B85" s="2" t="inlineStr">
        <is>
          <t>verified_sources</t>
        </is>
      </c>
      <c r="C85" s="2" t="inlineStr">
        <is>
          <t>EREFSは、EoEの4つの主要な内視鏡所見（浮腫、輪状溝、白斑、縦走溝）と追加所見（狭窄、crepe paper esophagus）を等級化する分類である。修正版では、主要4所見の観察者間一致はκ 0.40〜0.54と良好だった。</t>
        </is>
      </c>
      <c r="D85" s="2" t="inlineStr">
        <is>
          <t>EoEの内視鏡評価・治療効果判定</t>
        </is>
      </c>
      <c r="E85" s="2" t="inlineStr">
        <is>
          <t>鑑別：カンジダ食道炎の白苔（白斑との鑑別）
誤解：内視鏡所見が乏しければEoEは否定できると考える</t>
        </is>
      </c>
      <c r="F85" s="2" t="inlineStr">
        <is>
          <t>Hirano I, et al. Endoscopic assessment of the oesophageal features of eosinophilic oesophagitis: validation of a novel classification and grading system. Gut 2013;62:489-495</t>
        </is>
      </c>
      <c r="G85" s="6" t="inlineStr">
        <is>
          <t>10.1136/gutjnl-2011-301817</t>
        </is>
      </c>
      <c r="H85" s="6" t="inlineStr">
        <is>
          <t>22619364</t>
        </is>
      </c>
      <c r="I85" s="2" t="inlineStr">
        <is>
          <t>RESTRICTED</t>
        </is>
      </c>
      <c r="J85" s="2" t="inlineStr">
        <is>
          <t>low（抄録で照合）</t>
        </is>
      </c>
      <c r="K85" s="2" t="inlineStr">
        <is>
          <t>PS-02-08-05 (id: JkxnuRY)；TBL-02-07-030 (id: JlAKplE)</t>
        </is>
      </c>
      <c r="L85" s="2" t="inlineStr">
        <is>
          <t>医学各論 Ⅵ-5-A-②（消化管アレルギー、好酸球性胃腸炎、好酸球性食道炎、b）</t>
        </is>
      </c>
      <c r="M85" s="2" t="inlineStr">
        <is>
          <t>[2026-10-12] 起票：欠番補完（人間が2026-10-12にチャットで委任）。出典を再調査し、自作文で作成。根拠：Hirano 2013（PMID 22619364）の抄録
[2026-10-12] status draft → verified_sources（識別子・ライセンスを API で照合済み、主張文の数値・推奨を一次資料と照合：起票時に照合した一次資料。人間が2026-10-12にチャットで委任）</t>
        </is>
      </c>
      <c r="N85" s="3" t="inlineStr"/>
      <c r="O85" s="3" t="inlineStr"/>
      <c r="P85" s="3" t="inlineStr"/>
    </row>
    <row r="86">
      <c r="A86" s="2" t="inlineStr">
        <is>
          <t>ES-089</t>
        </is>
      </c>
      <c r="B86" s="2" t="inlineStr">
        <is>
          <t>draft</t>
        </is>
      </c>
      <c r="C86" s="2" t="inlineStr">
        <is>
          <t>ヨード（ルゴール）染色では、グリコーゲンを含む正常な扁平上皮が褐色に染まり、扁平上皮癌や異形成は不染帯となる。多発する不染帯（まだら食道）は食道癌の高リスクの指標となる。</t>
        </is>
      </c>
      <c r="D86" s="2" t="inlineStr">
        <is>
          <t>食道扁平上皮癌のスクリーニング・範囲診断</t>
        </is>
      </c>
      <c r="E86" s="2" t="inlineStr">
        <is>
          <t>鑑別：NBI拡大観察（JES分類）
誤解：不染帯がすべて癌というわけではない</t>
        </is>
      </c>
      <c r="F86" s="2" t="inlineStr">
        <is>
          <t>要確認（JGES食道ESD/EMR GL 2020＝B、本文の該当CQを未照合）</t>
        </is>
      </c>
      <c r="G86" s="6" t="inlineStr">
        <is>
          <t>10.1111/den.13654</t>
        </is>
      </c>
      <c r="H86" s="6" t="inlineStr">
        <is>
          <t>32072683</t>
        </is>
      </c>
      <c r="I86" s="2" t="inlineStr">
        <is>
          <t>RESTRICTED</t>
        </is>
      </c>
      <c r="J86" s="2" t="inlineStr">
        <is>
          <t>該当箇所の照合が未了</t>
        </is>
      </c>
      <c r="K86" s="2" t="inlineStr">
        <is>
          <t>PS-02-08-05 (id: JkxnuRY)；TBL-02-07-030 (id: JlAKplE)</t>
        </is>
      </c>
      <c r="L86" s="2" t="inlineStr">
        <is>
          <t>医学各論 Ⅵ-1-C-①（食道癌、a）</t>
        </is>
      </c>
      <c r="M86" s="2" t="inlineStr"/>
      <c r="N86" s="3" t="inlineStr"/>
      <c r="O86" s="3" t="inlineStr"/>
      <c r="P86" s="3" t="inlineStr"/>
    </row>
    <row r="87">
      <c r="A87" s="2" t="inlineStr">
        <is>
          <t>ES-090</t>
        </is>
      </c>
      <c r="B87" s="2" t="inlineStr">
        <is>
          <t>draft</t>
        </is>
      </c>
      <c r="C87" s="2" t="inlineStr">
        <is>
          <t>日本では、ニボルマブの「食道癌における術後補助療法」の効能・効果が2021年11月25日に承認された。</t>
        </is>
      </c>
      <c r="D87" s="2" t="inlineStr">
        <is>
          <t>国内の薬事承認</t>
        </is>
      </c>
      <c r="E87" s="2" t="inlineStr">
        <is>
          <t>鑑別：根治切除不能な進行・再発食道癌への適応（2020年2月）
誤解：術前化学療法（DCF）後の症例への有効性は、CheckMate 577では直接検証されていない</t>
        </is>
      </c>
      <c r="F87" s="2" t="inlineStr">
        <is>
          <t>小野薬品工業・BMS 食道癌適正使用委員会 文書（2021-11-26）</t>
        </is>
      </c>
      <c r="G87" s="2" t="inlineStr"/>
      <c r="H87" s="2" t="inlineStr"/>
      <c r="I87" s="2" t="inlineStr">
        <is>
          <t>RESTRICTED</t>
        </is>
      </c>
      <c r="J87" s="2" t="inlineStr">
        <is>
          <t>PMDA添付文書の改訂履歴での確認は未実施</t>
        </is>
      </c>
      <c r="K87" s="2" t="inlineStr">
        <is>
          <t>PS-03-04-14 (id: JkxnuYE)</t>
        </is>
      </c>
      <c r="L87" s="2" t="inlineStr">
        <is>
          <t>医学各論 Ⅵ-1-C-①（食道癌、a）</t>
        </is>
      </c>
      <c r="M87" s="2" t="inlineStr"/>
      <c r="N87" s="3" t="inlineStr"/>
      <c r="O87" s="3" t="inlineStr"/>
      <c r="P87" s="3" t="inlineStr"/>
    </row>
    <row r="88">
      <c r="A88" s="2" t="inlineStr">
        <is>
          <t>ES-091</t>
        </is>
      </c>
      <c r="B88" s="2" t="inlineStr">
        <is>
          <t>draft</t>
        </is>
      </c>
      <c r="C88" s="2" t="inlineStr">
        <is>
          <t>日本では、局所ステロイド（嚥下するブデソニドやフルチカゾン）を含め、EoEを効能とする保険適用薬は2024年時点で存在しない。</t>
        </is>
      </c>
      <c r="D88" s="2" t="inlineStr">
        <is>
          <t>国内の保険診療</t>
        </is>
      </c>
      <c r="E88" s="2" t="inlineStr">
        <is>
          <t>鑑別：PPI（EoEの初期治療として用いられる）
誤解：吸入ステロイドの嚥下による使用は適応外使用である</t>
        </is>
      </c>
      <c r="F88" s="2" t="inlineStr">
        <is>
          <t>慶應義塾大学病院 KOMPAS 好酸球性消化管疾患（2024年5月）</t>
        </is>
      </c>
      <c r="G88" s="2" t="inlineStr"/>
      <c r="H88" s="2" t="inlineStr"/>
      <c r="I88" s="2" t="inlineStr">
        <is>
          <t>UNKNOWN</t>
        </is>
      </c>
      <c r="J88" s="2" t="inlineStr">
        <is>
          <t>low〜medium（2026年10月時点の検索でも国内のEoE承認の記録なし。PMDAの承認一覧での直接照合は未了）</t>
        </is>
      </c>
      <c r="K88" s="2" t="inlineStr">
        <is>
          <t>PS-02-08-05 (id: JkxnuRY)</t>
        </is>
      </c>
      <c r="L88" s="2" t="inlineStr">
        <is>
          <t>医学各論 Ⅵ-5-A-②（消化管アレルギー、好酸球性胃腸炎、好酸球性食道炎、b）</t>
        </is>
      </c>
      <c r="M88" s="2" t="inlineStr">
        <is>
          <t>[2026-10-12] 内容照合による修正（人間が2026-10-12にチャットで委任）：2026年時点の国内承認状況を再調査。変更項目：uncertainty。根拠：サノフィ デュピクセント IF（2026年3月改訂 第20版）と国内報道の検索（2026-10-12）。国内のEoE承認の記録なし</t>
        </is>
      </c>
      <c r="N88" s="3" t="inlineStr"/>
      <c r="O88" s="3" t="inlineStr"/>
      <c r="P88" s="3" t="inlineStr"/>
    </row>
    <row r="89">
      <c r="A89" s="2" t="inlineStr">
        <is>
          <t>ES-092</t>
        </is>
      </c>
      <c r="B89" s="2" t="inlineStr">
        <is>
          <t>draft</t>
        </is>
      </c>
      <c r="C89" s="2" t="inlineStr">
        <is>
          <t>ALDH2の低活性ヘテロ型の人が飲酒すると、食道扁平上皮癌のリスクが大きく上がる。日本と台湾の症例対照研究では、飲酒量で調整したオッズ比は3.7〜18.1だった。日本人男性で中等量以上飲酒するヘテロ型の人がすべて少量飲酒にとどまれば、食道扁平上皮癌の53%を予防できる可能性があると試算されている。</t>
        </is>
      </c>
      <c r="D89" s="2" t="inlineStr">
        <is>
          <t>東アジア人の飲酒者</t>
        </is>
      </c>
      <c r="E89" s="2" t="inlineStr">
        <is>
          <t>鑑別：ALDH2*2ホモ型（飲酒量が少なく、リスクはむしろ低い）
誤解：フラッシング（顔面紅潮）がある人ほど安全なわけではない。ヘテロ型の目印になる</t>
        </is>
      </c>
      <c r="F89" s="2" t="inlineStr">
        <is>
          <t>Brooks PJ, et al. The alcohol flushing response. PLoS Med 2009;6(3):e1000050</t>
        </is>
      </c>
      <c r="G89" s="6" t="inlineStr">
        <is>
          <t>10.1371/journal.pmed.1000050</t>
        </is>
      </c>
      <c r="H89" s="6" t="inlineStr">
        <is>
          <t>19320537</t>
        </is>
      </c>
      <c r="I89" s="2" t="inlineStr">
        <is>
          <t>OPEN</t>
        </is>
      </c>
      <c r="J89" s="2" t="inlineStr">
        <is>
          <t>53%は試算値（仮定に基づく推計）</t>
        </is>
      </c>
      <c r="K89" s="2" t="inlineStr">
        <is>
          <t>PS-03-04-14 (id: JkxnuYE)</t>
        </is>
      </c>
      <c r="L89" s="2" t="inlineStr">
        <is>
          <t>医学各論 Ⅵ-1-C-①（食道癌、a）</t>
        </is>
      </c>
      <c r="M89" s="2" t="inlineStr"/>
      <c r="N89" s="3" t="inlineStr"/>
      <c r="O89" s="3" t="inlineStr"/>
      <c r="P89" s="3" t="inlineStr"/>
    </row>
    <row r="90">
      <c r="A90" s="2" t="inlineStr">
        <is>
          <t>ES-093</t>
        </is>
      </c>
      <c r="B90" s="2" t="inlineStr">
        <is>
          <t>draft</t>
        </is>
      </c>
      <c r="C90" s="2" t="inlineStr">
        <is>
          <t>薬物抵抗性GERDに対するARMSとESD-Gは、2022年4月の診療報酬改定で「内視鏡的逆流防止粘膜切除術」（K653-6、12,000点）として保険収載された。</t>
        </is>
      </c>
      <c r="D90" s="2" t="inlineStr">
        <is>
          <t>国内の保険診療</t>
        </is>
      </c>
      <c r="E90" s="2" t="inlineStr">
        <is>
          <t>鑑別：腹腔鏡下噴門形成術（Nissen法・Toupet法）、ARMA（APC焼灼）
誤解：ARMAが同じ点数で収載されているかは別途確認が必要</t>
        </is>
      </c>
      <c r="F90" s="2" t="inlineStr">
        <is>
          <t>診療報酬点数表 K653-6（令和4年新設）</t>
        </is>
      </c>
      <c r="G90" s="2" t="inlineStr"/>
      <c r="H90" s="2" t="inlineStr"/>
      <c r="I90" s="2" t="inlineStr">
        <is>
          <t>GOV_JP</t>
        </is>
      </c>
      <c r="J90" s="2" t="inlineStr">
        <is>
          <t>low（令和8年版点数表でも12,000点）</t>
        </is>
      </c>
      <c r="K90" s="2" t="inlineStr">
        <is>
          <t>PS-02-08-05 (id: JkxnuRY)；TBL-02-07-033 (id: JlAKplQ)</t>
        </is>
      </c>
      <c r="L90" s="2" t="inlineStr">
        <is>
          <t>医学各論 Ⅵ-1-B-①（胃食道逆流症&lt;GERD&gt;、非びらん性胃食道逆流症&lt;NERD&gt;、a）</t>
        </is>
      </c>
      <c r="M90" s="2" t="inlineStr">
        <is>
          <t>[2026-10-12] 内容照合による修正（人間が2026-10-12にチャットで委任）：令和8年度改定後も点数が変わらないことを確認。変更項目：uncertainty。根拠：診療報酬点数表（令和8年版）K653-6 12,000点（clinicalsup.jp の点数表ページ、2026-10-12 閲覧）</t>
        </is>
      </c>
      <c r="N90" s="3" t="inlineStr"/>
      <c r="O90" s="3" t="inlineStr"/>
      <c r="P90" s="3" t="inlineStr"/>
    </row>
  </sheetData>
  <autoFilter ref="A1:P90"/>
  <dataValidations count="1">
    <dataValidation sqref="N2:N90" showDropDown="0" showInputMessage="0" showErrorMessage="0" allowBlank="1" type="list">
      <formula1>"OK,修正,削除"</formula1>
    </dataValidation>
  </dataValidations>
  <hyperlinks>
    <hyperlink xmlns:r="http://schemas.openxmlformats.org/officeDocument/2006/relationships" ref="G2" r:id="rId1"/>
    <hyperlink xmlns:r="http://schemas.openxmlformats.org/officeDocument/2006/relationships" ref="H2" r:id="rId2"/>
    <hyperlink xmlns:r="http://schemas.openxmlformats.org/officeDocument/2006/relationships" ref="G3" r:id="rId3"/>
    <hyperlink xmlns:r="http://schemas.openxmlformats.org/officeDocument/2006/relationships" ref="H3" r:id="rId4"/>
    <hyperlink xmlns:r="http://schemas.openxmlformats.org/officeDocument/2006/relationships" ref="G4" r:id="rId5"/>
    <hyperlink xmlns:r="http://schemas.openxmlformats.org/officeDocument/2006/relationships" ref="H4" r:id="rId6"/>
    <hyperlink xmlns:r="http://schemas.openxmlformats.org/officeDocument/2006/relationships" ref="G5" r:id="rId7"/>
    <hyperlink xmlns:r="http://schemas.openxmlformats.org/officeDocument/2006/relationships" ref="H5" r:id="rId8"/>
    <hyperlink xmlns:r="http://schemas.openxmlformats.org/officeDocument/2006/relationships" ref="G6" r:id="rId9"/>
    <hyperlink xmlns:r="http://schemas.openxmlformats.org/officeDocument/2006/relationships" ref="H6" r:id="rId10"/>
    <hyperlink xmlns:r="http://schemas.openxmlformats.org/officeDocument/2006/relationships" ref="G7" r:id="rId11"/>
    <hyperlink xmlns:r="http://schemas.openxmlformats.org/officeDocument/2006/relationships" ref="H7" r:id="rId12"/>
    <hyperlink xmlns:r="http://schemas.openxmlformats.org/officeDocument/2006/relationships" ref="G8" r:id="rId13"/>
    <hyperlink xmlns:r="http://schemas.openxmlformats.org/officeDocument/2006/relationships" ref="H8" r:id="rId14"/>
    <hyperlink xmlns:r="http://schemas.openxmlformats.org/officeDocument/2006/relationships" ref="G9" r:id="rId15"/>
    <hyperlink xmlns:r="http://schemas.openxmlformats.org/officeDocument/2006/relationships" ref="H9" r:id="rId16"/>
    <hyperlink xmlns:r="http://schemas.openxmlformats.org/officeDocument/2006/relationships" ref="G10" r:id="rId17"/>
    <hyperlink xmlns:r="http://schemas.openxmlformats.org/officeDocument/2006/relationships" ref="H10" r:id="rId18"/>
    <hyperlink xmlns:r="http://schemas.openxmlformats.org/officeDocument/2006/relationships" ref="G11" r:id="rId19"/>
    <hyperlink xmlns:r="http://schemas.openxmlformats.org/officeDocument/2006/relationships" ref="H11" r:id="rId20"/>
    <hyperlink xmlns:r="http://schemas.openxmlformats.org/officeDocument/2006/relationships" ref="G12" r:id="rId21"/>
    <hyperlink xmlns:r="http://schemas.openxmlformats.org/officeDocument/2006/relationships" ref="H12" r:id="rId22"/>
    <hyperlink xmlns:r="http://schemas.openxmlformats.org/officeDocument/2006/relationships" ref="G13" r:id="rId23"/>
    <hyperlink xmlns:r="http://schemas.openxmlformats.org/officeDocument/2006/relationships" ref="H13" r:id="rId24"/>
    <hyperlink xmlns:r="http://schemas.openxmlformats.org/officeDocument/2006/relationships" ref="G14" r:id="rId25"/>
    <hyperlink xmlns:r="http://schemas.openxmlformats.org/officeDocument/2006/relationships" ref="H14" r:id="rId26"/>
    <hyperlink xmlns:r="http://schemas.openxmlformats.org/officeDocument/2006/relationships" ref="G15" r:id="rId27"/>
    <hyperlink xmlns:r="http://schemas.openxmlformats.org/officeDocument/2006/relationships" ref="H15" r:id="rId28"/>
    <hyperlink xmlns:r="http://schemas.openxmlformats.org/officeDocument/2006/relationships" ref="G16" r:id="rId29"/>
    <hyperlink xmlns:r="http://schemas.openxmlformats.org/officeDocument/2006/relationships" ref="H16" r:id="rId30"/>
    <hyperlink xmlns:r="http://schemas.openxmlformats.org/officeDocument/2006/relationships" ref="G17" r:id="rId31"/>
    <hyperlink xmlns:r="http://schemas.openxmlformats.org/officeDocument/2006/relationships" ref="H17" r:id="rId32"/>
    <hyperlink xmlns:r="http://schemas.openxmlformats.org/officeDocument/2006/relationships" ref="G18" r:id="rId33"/>
    <hyperlink xmlns:r="http://schemas.openxmlformats.org/officeDocument/2006/relationships" ref="H18" r:id="rId34"/>
    <hyperlink xmlns:r="http://schemas.openxmlformats.org/officeDocument/2006/relationships" ref="G19" r:id="rId35"/>
    <hyperlink xmlns:r="http://schemas.openxmlformats.org/officeDocument/2006/relationships" ref="H19" r:id="rId36"/>
    <hyperlink xmlns:r="http://schemas.openxmlformats.org/officeDocument/2006/relationships" ref="G20" r:id="rId37"/>
    <hyperlink xmlns:r="http://schemas.openxmlformats.org/officeDocument/2006/relationships" ref="H20" r:id="rId38"/>
    <hyperlink xmlns:r="http://schemas.openxmlformats.org/officeDocument/2006/relationships" ref="G21" r:id="rId39"/>
    <hyperlink xmlns:r="http://schemas.openxmlformats.org/officeDocument/2006/relationships" ref="H21" r:id="rId40"/>
    <hyperlink xmlns:r="http://schemas.openxmlformats.org/officeDocument/2006/relationships" ref="G22" r:id="rId41"/>
    <hyperlink xmlns:r="http://schemas.openxmlformats.org/officeDocument/2006/relationships" ref="H22" r:id="rId42"/>
    <hyperlink xmlns:r="http://schemas.openxmlformats.org/officeDocument/2006/relationships" ref="G23" r:id="rId43"/>
    <hyperlink xmlns:r="http://schemas.openxmlformats.org/officeDocument/2006/relationships" ref="H23" r:id="rId44"/>
    <hyperlink xmlns:r="http://schemas.openxmlformats.org/officeDocument/2006/relationships" ref="G24" r:id="rId45"/>
    <hyperlink xmlns:r="http://schemas.openxmlformats.org/officeDocument/2006/relationships" ref="H24" r:id="rId46"/>
    <hyperlink xmlns:r="http://schemas.openxmlformats.org/officeDocument/2006/relationships" ref="G26" r:id="rId47"/>
    <hyperlink xmlns:r="http://schemas.openxmlformats.org/officeDocument/2006/relationships" ref="H26" r:id="rId48"/>
    <hyperlink xmlns:r="http://schemas.openxmlformats.org/officeDocument/2006/relationships" ref="G27" r:id="rId49"/>
    <hyperlink xmlns:r="http://schemas.openxmlformats.org/officeDocument/2006/relationships" ref="H27" r:id="rId50"/>
    <hyperlink xmlns:r="http://schemas.openxmlformats.org/officeDocument/2006/relationships" ref="G28" r:id="rId51"/>
    <hyperlink xmlns:r="http://schemas.openxmlformats.org/officeDocument/2006/relationships" ref="H28" r:id="rId52"/>
    <hyperlink xmlns:r="http://schemas.openxmlformats.org/officeDocument/2006/relationships" ref="G29" r:id="rId53"/>
    <hyperlink xmlns:r="http://schemas.openxmlformats.org/officeDocument/2006/relationships" ref="H29" r:id="rId54"/>
    <hyperlink xmlns:r="http://schemas.openxmlformats.org/officeDocument/2006/relationships" ref="G30" r:id="rId55"/>
    <hyperlink xmlns:r="http://schemas.openxmlformats.org/officeDocument/2006/relationships" ref="H30" r:id="rId56"/>
    <hyperlink xmlns:r="http://schemas.openxmlformats.org/officeDocument/2006/relationships" ref="G31" r:id="rId57"/>
    <hyperlink xmlns:r="http://schemas.openxmlformats.org/officeDocument/2006/relationships" ref="H31" r:id="rId58"/>
    <hyperlink xmlns:r="http://schemas.openxmlformats.org/officeDocument/2006/relationships" ref="G32" r:id="rId59"/>
    <hyperlink xmlns:r="http://schemas.openxmlformats.org/officeDocument/2006/relationships" ref="H32" r:id="rId60"/>
    <hyperlink xmlns:r="http://schemas.openxmlformats.org/officeDocument/2006/relationships" ref="G33" r:id="rId61"/>
    <hyperlink xmlns:r="http://schemas.openxmlformats.org/officeDocument/2006/relationships" ref="H33" r:id="rId62"/>
    <hyperlink xmlns:r="http://schemas.openxmlformats.org/officeDocument/2006/relationships" ref="G34" r:id="rId63"/>
    <hyperlink xmlns:r="http://schemas.openxmlformats.org/officeDocument/2006/relationships" ref="H34" r:id="rId64"/>
    <hyperlink xmlns:r="http://schemas.openxmlformats.org/officeDocument/2006/relationships" ref="G35" r:id="rId65"/>
    <hyperlink xmlns:r="http://schemas.openxmlformats.org/officeDocument/2006/relationships" ref="H35" r:id="rId66"/>
    <hyperlink xmlns:r="http://schemas.openxmlformats.org/officeDocument/2006/relationships" ref="G37" r:id="rId67"/>
    <hyperlink xmlns:r="http://schemas.openxmlformats.org/officeDocument/2006/relationships" ref="H37" r:id="rId68"/>
    <hyperlink xmlns:r="http://schemas.openxmlformats.org/officeDocument/2006/relationships" ref="G38" r:id="rId69"/>
    <hyperlink xmlns:r="http://schemas.openxmlformats.org/officeDocument/2006/relationships" ref="H38" r:id="rId70"/>
    <hyperlink xmlns:r="http://schemas.openxmlformats.org/officeDocument/2006/relationships" ref="G39" r:id="rId71"/>
    <hyperlink xmlns:r="http://schemas.openxmlformats.org/officeDocument/2006/relationships" ref="H39" r:id="rId72"/>
    <hyperlink xmlns:r="http://schemas.openxmlformats.org/officeDocument/2006/relationships" ref="G40" r:id="rId73"/>
    <hyperlink xmlns:r="http://schemas.openxmlformats.org/officeDocument/2006/relationships" ref="H40" r:id="rId74"/>
    <hyperlink xmlns:r="http://schemas.openxmlformats.org/officeDocument/2006/relationships" ref="G41" r:id="rId75"/>
    <hyperlink xmlns:r="http://schemas.openxmlformats.org/officeDocument/2006/relationships" ref="H41" r:id="rId76"/>
    <hyperlink xmlns:r="http://schemas.openxmlformats.org/officeDocument/2006/relationships" ref="G42" r:id="rId77"/>
    <hyperlink xmlns:r="http://schemas.openxmlformats.org/officeDocument/2006/relationships" ref="H42" r:id="rId78"/>
    <hyperlink xmlns:r="http://schemas.openxmlformats.org/officeDocument/2006/relationships" ref="G43" r:id="rId79"/>
    <hyperlink xmlns:r="http://schemas.openxmlformats.org/officeDocument/2006/relationships" ref="H43" r:id="rId80"/>
    <hyperlink xmlns:r="http://schemas.openxmlformats.org/officeDocument/2006/relationships" ref="G44" r:id="rId81"/>
    <hyperlink xmlns:r="http://schemas.openxmlformats.org/officeDocument/2006/relationships" ref="H44" r:id="rId82"/>
    <hyperlink xmlns:r="http://schemas.openxmlformats.org/officeDocument/2006/relationships" ref="G45" r:id="rId83"/>
    <hyperlink xmlns:r="http://schemas.openxmlformats.org/officeDocument/2006/relationships" ref="H45" r:id="rId84"/>
    <hyperlink xmlns:r="http://schemas.openxmlformats.org/officeDocument/2006/relationships" ref="G46" r:id="rId85"/>
    <hyperlink xmlns:r="http://schemas.openxmlformats.org/officeDocument/2006/relationships" ref="H46" r:id="rId86"/>
    <hyperlink xmlns:r="http://schemas.openxmlformats.org/officeDocument/2006/relationships" ref="G47" r:id="rId87"/>
    <hyperlink xmlns:r="http://schemas.openxmlformats.org/officeDocument/2006/relationships" ref="H47" r:id="rId88"/>
    <hyperlink xmlns:r="http://schemas.openxmlformats.org/officeDocument/2006/relationships" ref="G48" r:id="rId89"/>
    <hyperlink xmlns:r="http://schemas.openxmlformats.org/officeDocument/2006/relationships" ref="H48" r:id="rId90"/>
    <hyperlink xmlns:r="http://schemas.openxmlformats.org/officeDocument/2006/relationships" ref="G49" r:id="rId91"/>
    <hyperlink xmlns:r="http://schemas.openxmlformats.org/officeDocument/2006/relationships" ref="H49" r:id="rId92"/>
    <hyperlink xmlns:r="http://schemas.openxmlformats.org/officeDocument/2006/relationships" ref="G50" r:id="rId93"/>
    <hyperlink xmlns:r="http://schemas.openxmlformats.org/officeDocument/2006/relationships" ref="H50" r:id="rId94"/>
    <hyperlink xmlns:r="http://schemas.openxmlformats.org/officeDocument/2006/relationships" ref="G51" r:id="rId95"/>
    <hyperlink xmlns:r="http://schemas.openxmlformats.org/officeDocument/2006/relationships" ref="H51" r:id="rId96"/>
    <hyperlink xmlns:r="http://schemas.openxmlformats.org/officeDocument/2006/relationships" ref="G52" r:id="rId97"/>
    <hyperlink xmlns:r="http://schemas.openxmlformats.org/officeDocument/2006/relationships" ref="H52" r:id="rId98"/>
    <hyperlink xmlns:r="http://schemas.openxmlformats.org/officeDocument/2006/relationships" ref="G53" r:id="rId99"/>
    <hyperlink xmlns:r="http://schemas.openxmlformats.org/officeDocument/2006/relationships" ref="H53" r:id="rId100"/>
    <hyperlink xmlns:r="http://schemas.openxmlformats.org/officeDocument/2006/relationships" ref="G54" r:id="rId101"/>
    <hyperlink xmlns:r="http://schemas.openxmlformats.org/officeDocument/2006/relationships" ref="H54" r:id="rId102"/>
    <hyperlink xmlns:r="http://schemas.openxmlformats.org/officeDocument/2006/relationships" ref="G55" r:id="rId103"/>
    <hyperlink xmlns:r="http://schemas.openxmlformats.org/officeDocument/2006/relationships" ref="H55" r:id="rId104"/>
    <hyperlink xmlns:r="http://schemas.openxmlformats.org/officeDocument/2006/relationships" ref="G56" r:id="rId105"/>
    <hyperlink xmlns:r="http://schemas.openxmlformats.org/officeDocument/2006/relationships" ref="H56" r:id="rId106"/>
    <hyperlink xmlns:r="http://schemas.openxmlformats.org/officeDocument/2006/relationships" ref="G57" r:id="rId107"/>
    <hyperlink xmlns:r="http://schemas.openxmlformats.org/officeDocument/2006/relationships" ref="H57" r:id="rId108"/>
    <hyperlink xmlns:r="http://schemas.openxmlformats.org/officeDocument/2006/relationships" ref="G58" r:id="rId109"/>
    <hyperlink xmlns:r="http://schemas.openxmlformats.org/officeDocument/2006/relationships" ref="H58" r:id="rId110"/>
    <hyperlink xmlns:r="http://schemas.openxmlformats.org/officeDocument/2006/relationships" ref="G59" r:id="rId111"/>
    <hyperlink xmlns:r="http://schemas.openxmlformats.org/officeDocument/2006/relationships" ref="H59" r:id="rId112"/>
    <hyperlink xmlns:r="http://schemas.openxmlformats.org/officeDocument/2006/relationships" ref="G61" r:id="rId113"/>
    <hyperlink xmlns:r="http://schemas.openxmlformats.org/officeDocument/2006/relationships" ref="H61" r:id="rId114"/>
    <hyperlink xmlns:r="http://schemas.openxmlformats.org/officeDocument/2006/relationships" ref="G62" r:id="rId115"/>
    <hyperlink xmlns:r="http://schemas.openxmlformats.org/officeDocument/2006/relationships" ref="H62" r:id="rId116"/>
    <hyperlink xmlns:r="http://schemas.openxmlformats.org/officeDocument/2006/relationships" ref="G63" r:id="rId117"/>
    <hyperlink xmlns:r="http://schemas.openxmlformats.org/officeDocument/2006/relationships" ref="H63" r:id="rId118"/>
    <hyperlink xmlns:r="http://schemas.openxmlformats.org/officeDocument/2006/relationships" ref="G64" r:id="rId119"/>
    <hyperlink xmlns:r="http://schemas.openxmlformats.org/officeDocument/2006/relationships" ref="H64" r:id="rId120"/>
    <hyperlink xmlns:r="http://schemas.openxmlformats.org/officeDocument/2006/relationships" ref="G65" r:id="rId121"/>
    <hyperlink xmlns:r="http://schemas.openxmlformats.org/officeDocument/2006/relationships" ref="H65" r:id="rId122"/>
    <hyperlink xmlns:r="http://schemas.openxmlformats.org/officeDocument/2006/relationships" ref="G66" r:id="rId123"/>
    <hyperlink xmlns:r="http://schemas.openxmlformats.org/officeDocument/2006/relationships" ref="H66" r:id="rId124"/>
    <hyperlink xmlns:r="http://schemas.openxmlformats.org/officeDocument/2006/relationships" ref="G67" r:id="rId125"/>
    <hyperlink xmlns:r="http://schemas.openxmlformats.org/officeDocument/2006/relationships" ref="H67" r:id="rId126"/>
    <hyperlink xmlns:r="http://schemas.openxmlformats.org/officeDocument/2006/relationships" ref="G68" r:id="rId127"/>
    <hyperlink xmlns:r="http://schemas.openxmlformats.org/officeDocument/2006/relationships" ref="H68" r:id="rId128"/>
    <hyperlink xmlns:r="http://schemas.openxmlformats.org/officeDocument/2006/relationships" ref="G69" r:id="rId129"/>
    <hyperlink xmlns:r="http://schemas.openxmlformats.org/officeDocument/2006/relationships" ref="H69" r:id="rId130"/>
    <hyperlink xmlns:r="http://schemas.openxmlformats.org/officeDocument/2006/relationships" ref="G70" r:id="rId131"/>
    <hyperlink xmlns:r="http://schemas.openxmlformats.org/officeDocument/2006/relationships" ref="H70" r:id="rId132"/>
    <hyperlink xmlns:r="http://schemas.openxmlformats.org/officeDocument/2006/relationships" ref="G71" r:id="rId133"/>
    <hyperlink xmlns:r="http://schemas.openxmlformats.org/officeDocument/2006/relationships" ref="H71" r:id="rId134"/>
    <hyperlink xmlns:r="http://schemas.openxmlformats.org/officeDocument/2006/relationships" ref="G72" r:id="rId135"/>
    <hyperlink xmlns:r="http://schemas.openxmlformats.org/officeDocument/2006/relationships" ref="H72" r:id="rId136"/>
    <hyperlink xmlns:r="http://schemas.openxmlformats.org/officeDocument/2006/relationships" ref="G73" r:id="rId137"/>
    <hyperlink xmlns:r="http://schemas.openxmlformats.org/officeDocument/2006/relationships" ref="H73" r:id="rId138"/>
    <hyperlink xmlns:r="http://schemas.openxmlformats.org/officeDocument/2006/relationships" ref="G74" r:id="rId139"/>
    <hyperlink xmlns:r="http://schemas.openxmlformats.org/officeDocument/2006/relationships" ref="H74" r:id="rId140"/>
    <hyperlink xmlns:r="http://schemas.openxmlformats.org/officeDocument/2006/relationships" ref="G75" r:id="rId141"/>
    <hyperlink xmlns:r="http://schemas.openxmlformats.org/officeDocument/2006/relationships" ref="H75" r:id="rId142"/>
    <hyperlink xmlns:r="http://schemas.openxmlformats.org/officeDocument/2006/relationships" ref="G76" r:id="rId143"/>
    <hyperlink xmlns:r="http://schemas.openxmlformats.org/officeDocument/2006/relationships" ref="H76" r:id="rId144"/>
    <hyperlink xmlns:r="http://schemas.openxmlformats.org/officeDocument/2006/relationships" ref="G77" r:id="rId145"/>
    <hyperlink xmlns:r="http://schemas.openxmlformats.org/officeDocument/2006/relationships" ref="H77" r:id="rId146"/>
    <hyperlink xmlns:r="http://schemas.openxmlformats.org/officeDocument/2006/relationships" ref="G78" r:id="rId147"/>
    <hyperlink xmlns:r="http://schemas.openxmlformats.org/officeDocument/2006/relationships" ref="H78" r:id="rId148"/>
    <hyperlink xmlns:r="http://schemas.openxmlformats.org/officeDocument/2006/relationships" ref="G79" r:id="rId149"/>
    <hyperlink xmlns:r="http://schemas.openxmlformats.org/officeDocument/2006/relationships" ref="H79" r:id="rId150"/>
    <hyperlink xmlns:r="http://schemas.openxmlformats.org/officeDocument/2006/relationships" ref="G80" r:id="rId151"/>
    <hyperlink xmlns:r="http://schemas.openxmlformats.org/officeDocument/2006/relationships" ref="H80" r:id="rId152"/>
    <hyperlink xmlns:r="http://schemas.openxmlformats.org/officeDocument/2006/relationships" ref="G81" r:id="rId153"/>
    <hyperlink xmlns:r="http://schemas.openxmlformats.org/officeDocument/2006/relationships" ref="H81" r:id="rId154"/>
    <hyperlink xmlns:r="http://schemas.openxmlformats.org/officeDocument/2006/relationships" ref="G82" r:id="rId155"/>
    <hyperlink xmlns:r="http://schemas.openxmlformats.org/officeDocument/2006/relationships" ref="H82" r:id="rId156"/>
    <hyperlink xmlns:r="http://schemas.openxmlformats.org/officeDocument/2006/relationships" ref="G83" r:id="rId157"/>
    <hyperlink xmlns:r="http://schemas.openxmlformats.org/officeDocument/2006/relationships" ref="H83" r:id="rId158"/>
    <hyperlink xmlns:r="http://schemas.openxmlformats.org/officeDocument/2006/relationships" ref="G84" r:id="rId159"/>
    <hyperlink xmlns:r="http://schemas.openxmlformats.org/officeDocument/2006/relationships" ref="H84" r:id="rId160"/>
    <hyperlink xmlns:r="http://schemas.openxmlformats.org/officeDocument/2006/relationships" ref="G85" r:id="rId161"/>
    <hyperlink xmlns:r="http://schemas.openxmlformats.org/officeDocument/2006/relationships" ref="H85" r:id="rId162"/>
    <hyperlink xmlns:r="http://schemas.openxmlformats.org/officeDocument/2006/relationships" ref="G86" r:id="rId163"/>
    <hyperlink xmlns:r="http://schemas.openxmlformats.org/officeDocument/2006/relationships" ref="H86" r:id="rId164"/>
    <hyperlink xmlns:r="http://schemas.openxmlformats.org/officeDocument/2006/relationships" ref="G89" r:id="rId165"/>
    <hyperlink xmlns:r="http://schemas.openxmlformats.org/officeDocument/2006/relationships" ref="H89" r:id="rId16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2026-10-12T13:31:43Z</dcterms:created>
  <dcterms:modified xsi:type="dcterms:W3CDTF">2026-10-12T13:31:43Z</dcterms:modified>
</cp:coreProperties>
</file>