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説明" sheetId="1" state="visible" r:id="rId1"/>
    <sheet name="review" sheetId="2" state="visible" r:id="rId2"/>
  </sheets>
  <definedNames>
    <definedName name="_xlnm._FilterDatabase" localSheetId="1" hidden="1">'review'!$A$1:$P$21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2" fillId="3" borderId="0" pivotButton="0" quotePrefix="0" xfId="0"/>
    <xf numFmtId="0" fontId="2"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11/hel.13028" TargetMode="External" Id="rId1" /><Relationship Type="http://schemas.openxmlformats.org/officeDocument/2006/relationships/hyperlink" Target="https://doi.org/10.1136/gutjnl-2015-311304" TargetMode="External" Id="rId2" /><Relationship Type="http://schemas.openxmlformats.org/officeDocument/2006/relationships/hyperlink" Target="https://pubmed.ncbi.nlm.nih.gov/26935876/" TargetMode="External" Id="rId3" /><Relationship Type="http://schemas.openxmlformats.org/officeDocument/2006/relationships/hyperlink" Target="https://doi.org/10.1007/s00535-026-02504-3" TargetMode="External" Id="rId4" /><Relationship Type="http://schemas.openxmlformats.org/officeDocument/2006/relationships/hyperlink" Target="https://doi.org/10.1007/s00535-026-02504-3" TargetMode="External" Id="rId5" /><Relationship Type="http://schemas.openxmlformats.org/officeDocument/2006/relationships/hyperlink" Target="https://doi.org/10.1007/s00535-026-02504-3" TargetMode="External" Id="rId6" /><Relationship Type="http://schemas.openxmlformats.org/officeDocument/2006/relationships/hyperlink" Target="https://doi.org/10.1007/s00535-026-02504-3" TargetMode="External" Id="rId7" /><Relationship Type="http://schemas.openxmlformats.org/officeDocument/2006/relationships/hyperlink" Target="https://doi.org/10.1136/gutjnl-2022-327745" TargetMode="External" Id="rId8" /><Relationship Type="http://schemas.openxmlformats.org/officeDocument/2006/relationships/hyperlink" Target="https://pubmed.ncbi.nlm.nih.gov/35944925/" TargetMode="External" Id="rId9" /><Relationship Type="http://schemas.openxmlformats.org/officeDocument/2006/relationships/hyperlink" Target="https://doi.org/10.14309/ajg.0000000000002968" TargetMode="External" Id="rId10" /><Relationship Type="http://schemas.openxmlformats.org/officeDocument/2006/relationships/hyperlink" Target="https://doi.org/10.1007/s00535-026-02379-4" TargetMode="External" Id="rId11" /><Relationship Type="http://schemas.openxmlformats.org/officeDocument/2006/relationships/hyperlink" Target="https://doi.org/10.14309/ajg.0000000000002968" TargetMode="External" Id="rId12" /><Relationship Type="http://schemas.openxmlformats.org/officeDocument/2006/relationships/hyperlink" Target="https://doi.org/10.1007/s00535-026-02379-4" TargetMode="External" Id="rId13" /><Relationship Type="http://schemas.openxmlformats.org/officeDocument/2006/relationships/hyperlink" Target="https://doi.org/10.1007/s00535-026-02379-4&#65288;&#24341;&#29992;&#20803;&#65289;" TargetMode="External" Id="rId14" /><Relationship Type="http://schemas.openxmlformats.org/officeDocument/2006/relationships/hyperlink" Target="https://doi.org/10.1007/s00535-026-02379-4" TargetMode="External" Id="rId15" /><Relationship Type="http://schemas.openxmlformats.org/officeDocument/2006/relationships/hyperlink" Target="https://doi.org/10.1007/s00535-026-02379-4" TargetMode="External" Id="rId16" /><Relationship Type="http://schemas.openxmlformats.org/officeDocument/2006/relationships/hyperlink" Target="https://doi.org/10.1136/gutjnl-2015-309252" TargetMode="External" Id="rId17" /><Relationship Type="http://schemas.openxmlformats.org/officeDocument/2006/relationships/hyperlink" Target="https://pubmed.ncbi.nlm.nih.gov/26187502/" TargetMode="External" Id="rId18" /><Relationship Type="http://schemas.openxmlformats.org/officeDocument/2006/relationships/hyperlink" Target="https://doi.org/10.1007/s00535-026-02504-3" TargetMode="External" Id="rId19" /></Relationships>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00" customWidth="1" min="2" max="2"/>
  </cols>
  <sheetData>
    <row r="1">
      <c r="A1" s="1" t="inlineStr">
        <is>
          <t>専門医レビューシート</t>
        </is>
      </c>
      <c r="B1" s="2" t="inlineStr">
        <is>
          <t>領域 HP　出力日 2026-10-12　20件</t>
        </is>
      </c>
    </row>
    <row r="2">
      <c r="A2" s="2" t="inlineStr">
        <is>
          <t>確認者（氏名）</t>
        </is>
      </c>
      <c r="B2" s="3" t="inlineStr"/>
    </row>
    <row r="3">
      <c r="A3" s="2" t="inlineStr">
        <is>
          <t>確認日（YYYY-MM-DD）</t>
        </is>
      </c>
      <c r="B3" s="3" t="inlineStr"/>
    </row>
    <row r="4">
      <c r="A4" s="2" t="inlineStr"/>
      <c r="B4" s="2" t="inlineStr"/>
    </row>
    <row r="5">
      <c r="A5" s="2" t="inlineStr">
        <is>
          <t>記入方法</t>
        </is>
      </c>
      <c r="B5" s="2" t="inlineStr">
        <is>
          <t>シート「review」の黄色の列（判定・修正案・コメント）に記入してください。</t>
        </is>
      </c>
    </row>
    <row r="6">
      <c r="A6" s="2" t="inlineStr">
        <is>
          <t>判定 = OK</t>
        </is>
      </c>
      <c r="B6" s="2" t="inlineStr">
        <is>
          <t>内容を確認済み。取り込み時に verified_expert に昇格し、確認者・確認日を記録します。</t>
        </is>
      </c>
    </row>
    <row r="7">
      <c r="A7" s="2" t="inlineStr">
        <is>
          <t>判定 = 修正</t>
        </is>
      </c>
      <c r="B7" s="2" t="inlineStr">
        <is>
          <t>「修正案」に正しい内容を書いてください。本文は自動では書き換えず、proposals/ に修正案として出します。</t>
        </is>
      </c>
    </row>
    <row r="8">
      <c r="A8" s="2" t="inlineStr">
        <is>
          <t>判定 = 削除</t>
        </is>
      </c>
      <c r="B8" s="2" t="inlineStr">
        <is>
          <t>廃止の提案として proposals/ に出します（カードは削除せず、承認後に retired にします）。</t>
        </is>
      </c>
    </row>
    <row r="9">
      <c r="A9" s="2" t="inlineStr">
        <is>
          <t>空欄</t>
        </is>
      </c>
      <c r="B9" s="2" t="inlineStr">
        <is>
          <t>未確認として扱い、何も変更しません。</t>
        </is>
      </c>
    </row>
    <row r="10">
      <c r="A10" s="2" t="inlineStr">
        <is>
          <t>注意</t>
        </is>
      </c>
      <c r="B10" s="2" t="inlineStr">
        <is>
          <t>「Claude Codeによる修正」列に記載があるカードは、Claude Code が一次資料をもとに主張文や出典を変更・作成したものです。特に確認をお願いします。</t>
        </is>
      </c>
    </row>
    <row r="11">
      <c r="A11" s="2" t="inlineStr">
        <is>
          <t>注意</t>
        </is>
      </c>
      <c r="B11" s="2" t="inlineStr">
        <is>
          <t>status が draft のカードは、出典との照合が未了です（理由は uncertainty 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60" customWidth="1" min="3" max="3"/>
    <col width="26" customWidth="1" min="4" max="4"/>
    <col width="34" customWidth="1" min="5" max="5"/>
    <col width="40" customWidth="1" min="6" max="6"/>
    <col width="22" customWidth="1" min="7" max="7"/>
    <col width="11" customWidth="1" min="8" max="8"/>
    <col width="12" customWidth="1" min="9" max="9"/>
    <col width="30" customWidth="1" min="10" max="10"/>
    <col width="26" customWidth="1" min="11" max="11"/>
    <col width="26" customWidth="1" min="12" max="12"/>
    <col width="40" customWidth="1" min="13" max="13"/>
    <col width="8" customWidth="1" min="14" max="14"/>
    <col width="40" customWidth="1" min="15" max="15"/>
    <col width="30" customWidth="1" min="16" max="16"/>
  </cols>
  <sheetData>
    <row r="1">
      <c r="A1" s="4" t="inlineStr">
        <is>
          <t>ID</t>
        </is>
      </c>
      <c r="B1" s="4" t="inlineStr">
        <is>
          <t>status</t>
        </is>
      </c>
      <c r="C1" s="4" t="inlineStr">
        <is>
          <t>主張文</t>
        </is>
      </c>
      <c r="D1" s="4" t="inlineStr">
        <is>
          <t>条件</t>
        </is>
      </c>
      <c r="E1" s="4" t="inlineStr">
        <is>
          <t>鑑別・よくある誤解</t>
        </is>
      </c>
      <c r="F1" s="4" t="inlineStr">
        <is>
          <t>出典</t>
        </is>
      </c>
      <c r="G1" s="4" t="inlineStr">
        <is>
          <t>DOI</t>
        </is>
      </c>
      <c r="H1" s="4" t="inlineStr">
        <is>
          <t>PMID</t>
        </is>
      </c>
      <c r="I1" s="4" t="inlineStr">
        <is>
          <t>source_class</t>
        </is>
      </c>
      <c r="J1" s="4" t="inlineStr">
        <is>
          <t>uncertainty</t>
        </is>
      </c>
      <c r="K1" s="4" t="inlineStr">
        <is>
          <t>コアカリ</t>
        </is>
      </c>
      <c r="L1" s="4" t="inlineStr">
        <is>
          <t>出題基準</t>
        </is>
      </c>
      <c r="M1" s="4" t="inlineStr">
        <is>
          <t>Claude Codeによる修正</t>
        </is>
      </c>
      <c r="N1" s="5" t="inlineStr">
        <is>
          <t>判定</t>
        </is>
      </c>
      <c r="O1" s="5" t="inlineStr">
        <is>
          <t>修正案</t>
        </is>
      </c>
      <c r="P1" s="5" t="inlineStr">
        <is>
          <t>コメント</t>
        </is>
      </c>
    </row>
    <row r="2">
      <c r="A2" s="2" t="inlineStr">
        <is>
          <t>HP-001</t>
        </is>
      </c>
      <c r="B2" s="2" t="inlineStr">
        <is>
          <t>draft</t>
        </is>
      </c>
      <c r="C2" s="2" t="inlineStr">
        <is>
          <t>2018〜2020年に日本国内で集めたH. pylori臨床分離株では、クラリスロマイシン耐性が35.5%、アモキシシリン耐性が2.7%、メトロニダゾール耐性が4.2%だった。</t>
        </is>
      </c>
      <c r="D2" s="2" t="inlineStr">
        <is>
          <t>region: JP；period: 2018-08〜2020-12</t>
        </is>
      </c>
      <c r="E2" s="2" t="inlineStr">
        <is>
          <t>鑑別：CAM耐性は高く、AMPC・MNZ耐性は低い
誤解：日本ではMNZ耐性が高いので二次除菌が効きにくい（誤り：MNZ耐性は低い）</t>
        </is>
      </c>
      <c r="F2" s="2" t="inlineStr">
        <is>
          <t>Okimoto T et al. Helicobacter 2024;29:e13028</t>
        </is>
      </c>
      <c r="G2" s="6" t="inlineStr">
        <is>
          <t>10.1111/hel.13028</t>
        </is>
      </c>
      <c r="H2" s="2" t="inlineStr"/>
      <c r="I2" s="2" t="inlineStr">
        <is>
          <t>RESTRICTED</t>
        </is>
      </c>
      <c r="J2" s="2" t="inlineStr"/>
      <c r="K2" s="2" t="inlineStr"/>
      <c r="L2" s="2" t="inlineStr"/>
      <c r="M2" s="2" t="inlineStr"/>
      <c r="N2" s="3" t="inlineStr"/>
      <c r="O2" s="3" t="inlineStr"/>
      <c r="P2" s="3" t="inlineStr"/>
    </row>
    <row r="3">
      <c r="A3" s="2" t="inlineStr">
        <is>
          <t>HP-002</t>
        </is>
      </c>
      <c r="B3" s="2" t="inlineStr">
        <is>
          <t>draft</t>
        </is>
      </c>
      <c r="C3" s="2" t="inlineStr">
        <is>
          <t>日本の第III相二重盲検RCTでは、一次除菌（三剤）の除菌率がボノプラザン群92.6%、ランソプラゾール群75.9%だった。</t>
        </is>
      </c>
      <c r="D3" s="2" t="inlineStr">
        <is>
          <t>region: JP；regimen: VPZ/LPZ + AMPC + CAM, 7日</t>
        </is>
      </c>
      <c r="E3" s="2" t="inlineStr">
        <is>
          <t>誤解：P-CABでもPPIでも除菌率は同じ</t>
        </is>
      </c>
      <c r="F3" s="2" t="inlineStr">
        <is>
          <t>Murakami K et al. Gut 2016;65:1439-46</t>
        </is>
      </c>
      <c r="G3" s="6" t="inlineStr">
        <is>
          <t>10.1136/gutjnl-2015-311304</t>
        </is>
      </c>
      <c r="H3" s="6" t="inlineStr">
        <is>
          <t>26935876</t>
        </is>
      </c>
      <c r="I3" s="2" t="inlineStr">
        <is>
          <t>UNKNOWN</t>
        </is>
      </c>
      <c r="J3" s="2" t="inlineStr">
        <is>
          <t>DOI・PMIDはPubMedのコメント記事（PMID 27210791）とClinicalTrials.gov NCT04901663の文献リストで確認。ライセンスは要確認</t>
        </is>
      </c>
      <c r="K3" s="2" t="inlineStr"/>
      <c r="L3" s="2" t="inlineStr"/>
      <c r="M3" s="2" t="inlineStr"/>
      <c r="N3" s="3" t="inlineStr"/>
      <c r="O3" s="3" t="inlineStr"/>
      <c r="P3" s="3" t="inlineStr"/>
    </row>
    <row r="4">
      <c r="A4" s="2" t="inlineStr">
        <is>
          <t>HP-003</t>
        </is>
      </c>
      <c r="B4" s="2" t="inlineStr">
        <is>
          <t>draft</t>
        </is>
      </c>
      <c r="C4" s="2" t="inlineStr">
        <is>
          <t>同じRCTのCAM耐性株感染例では、除菌率がボノプラザン三剤で82.0%、ランソプラゾール三剤で40.0%だった（p&lt;0.0001）。</t>
        </is>
      </c>
      <c r="D4" s="2" t="inlineStr">
        <is>
          <t>region: JP；strain: CAM耐性（n=100 vs 115）</t>
        </is>
      </c>
      <c r="E4" s="2" t="inlineStr">
        <is>
          <t>鑑別：CAM感受性株ではVPZ三剤97.6%、LPZ三剤97.3%と差がなかった</t>
        </is>
      </c>
      <c r="F4" s="2" t="inlineStr">
        <is>
          <t>Murakami 2016 原著本文（PMC5036253、online supplementary table S1参照）; Frontiers Pharmacol 2018 (10.3389/fphar.2018.01560)</t>
        </is>
      </c>
      <c r="G4" s="2" t="inlineStr"/>
      <c r="H4" s="2" t="inlineStr"/>
      <c r="I4" s="2" t="inlineStr">
        <is>
          <t>UNKNOWN</t>
        </is>
      </c>
      <c r="J4" s="2" t="inlineStr">
        <is>
          <t>数値は原著本文で確認済み。ライセンスは要確認</t>
        </is>
      </c>
      <c r="K4" s="2" t="inlineStr"/>
      <c r="L4" s="2" t="inlineStr"/>
      <c r="M4" s="2" t="inlineStr"/>
      <c r="N4" s="3" t="inlineStr"/>
      <c r="O4" s="3" t="inlineStr"/>
      <c r="P4" s="3" t="inlineStr"/>
    </row>
    <row r="5">
      <c r="A5" s="2" t="inlineStr">
        <is>
          <t>HP-004</t>
        </is>
      </c>
      <c r="B5" s="2" t="inlineStr">
        <is>
          <t>draft</t>
        </is>
      </c>
      <c r="C5" s="2" t="inlineStr">
        <is>
          <t>JSGE 2026は、一次除菌ではPPIよりボノプラザンを含む三剤療法を用いることを強く推奨している（エビデンスA、7件のRCTのメタ解析）。</t>
        </is>
      </c>
      <c r="D5" s="2" t="inlineStr">
        <is>
          <t>region: JP；guideline: JSGE PUD 2026 CQ-2</t>
        </is>
      </c>
      <c r="E5" s="2" t="inlineStr">
        <is>
          <t>鑑別：欧州（Maastricht VI）は経験的一次治療に14日ビスマス4剤を推奨</t>
        </is>
      </c>
      <c r="F5" s="2" t="inlineStr">
        <is>
          <t>JSGE PUD GL 2026</t>
        </is>
      </c>
      <c r="G5" s="6" t="inlineStr">
        <is>
          <t>10.1007/s00535-026-02504-3</t>
        </is>
      </c>
      <c r="H5" s="2" t="inlineStr"/>
      <c r="I5" s="2" t="inlineStr">
        <is>
          <t>OPEN</t>
        </is>
      </c>
      <c r="J5" s="2" t="inlineStr"/>
      <c r="K5" s="2" t="inlineStr"/>
      <c r="L5" s="2" t="inlineStr"/>
      <c r="M5" s="2" t="inlineStr"/>
      <c r="N5" s="3" t="inlineStr"/>
      <c r="O5" s="3" t="inlineStr"/>
      <c r="P5" s="3" t="inlineStr"/>
    </row>
    <row r="6">
      <c r="A6" s="2" t="inlineStr">
        <is>
          <t>HP-005</t>
        </is>
      </c>
      <c r="B6" s="2" t="inlineStr">
        <is>
          <t>draft</t>
        </is>
      </c>
      <c r="C6" s="2" t="inlineStr">
        <is>
          <t>JSGE 2026は、可能であれば一次除菌前にCAM感受性検査を行い、最も高い除菌率が見込めるレジメンを選ぶよう強く推奨している。</t>
        </is>
      </c>
      <c r="D6" s="2" t="inlineStr">
        <is>
          <t>region: JP；guideline: CQ-3</t>
        </is>
      </c>
      <c r="E6" s="2" t="inlineStr">
        <is>
          <t>誤解：感受性検査は除菌失敗後にだけ行う</t>
        </is>
      </c>
      <c r="F6" s="2" t="inlineStr">
        <is>
          <t>JSGE PUD GL 2026</t>
        </is>
      </c>
      <c r="G6" s="6" t="inlineStr">
        <is>
          <t>10.1007/s00535-026-02504-3</t>
        </is>
      </c>
      <c r="H6" s="2" t="inlineStr"/>
      <c r="I6" s="2" t="inlineStr">
        <is>
          <t>OPEN</t>
        </is>
      </c>
      <c r="J6" s="2" t="inlineStr"/>
      <c r="K6" s="2" t="inlineStr"/>
      <c r="L6" s="2" t="inlineStr"/>
      <c r="M6" s="2" t="inlineStr"/>
      <c r="N6" s="3" t="inlineStr"/>
      <c r="O6" s="3" t="inlineStr"/>
      <c r="P6" s="3" t="inlineStr"/>
    </row>
    <row r="7">
      <c r="A7" s="2" t="inlineStr">
        <is>
          <t>HP-006</t>
        </is>
      </c>
      <c r="B7" s="2" t="inlineStr">
        <is>
          <t>draft</t>
        </is>
      </c>
      <c r="C7" s="2" t="inlineStr">
        <is>
          <t>CAM感受性株にはVPZ＋AMPC＋CAMを、CAM耐性株にはPPIまたはVPZ＋AMPC＋MNZを用いることが推奨されている。</t>
        </is>
      </c>
      <c r="D7" s="2" t="inlineStr">
        <is>
          <t>region: JP；guideline: CQ-4；strength: いずれも強い推奨</t>
        </is>
      </c>
      <c r="E7" s="2" t="inlineStr">
        <is>
          <t>鑑別：耐性株にCAM含有レジメンを使い続けるのは誤り</t>
        </is>
      </c>
      <c r="F7" s="2" t="inlineStr">
        <is>
          <t>JSGE PUD GL 2026</t>
        </is>
      </c>
      <c r="G7" s="6" t="inlineStr">
        <is>
          <t>10.1007/s00535-026-02504-3</t>
        </is>
      </c>
      <c r="H7" s="2" t="inlineStr"/>
      <c r="I7" s="2" t="inlineStr">
        <is>
          <t>OPEN</t>
        </is>
      </c>
      <c r="J7" s="2" t="inlineStr"/>
      <c r="K7" s="2" t="inlineStr"/>
      <c r="L7" s="2" t="inlineStr"/>
      <c r="M7" s="2" t="inlineStr"/>
      <c r="N7" s="3" t="inlineStr"/>
      <c r="O7" s="3" t="inlineStr"/>
      <c r="P7" s="3" t="inlineStr"/>
    </row>
    <row r="8">
      <c r="A8" s="2" t="inlineStr">
        <is>
          <t>HP-007</t>
        </is>
      </c>
      <c r="B8" s="2" t="inlineStr">
        <is>
          <t>draft</t>
        </is>
      </c>
      <c r="C8" s="2" t="inlineStr">
        <is>
          <t>日本の二次除菌の推奨レジメンは、標準量PPIまたはVPZ 20 mg、AMPC 750 mg、MNZ 250 mgを1日2回・1週間投与するもので、PPIとVPZで除菌率は同等とされる。</t>
        </is>
      </c>
      <c r="D8" s="2" t="inlineStr">
        <is>
          <t>region: JP；line: second；guideline: CQ-2（弱い推奨, B）</t>
        </is>
      </c>
      <c r="E8" s="2" t="inlineStr">
        <is>
          <t>誤解：二次除菌でも必ずVPZでなければならない</t>
        </is>
      </c>
      <c r="F8" s="2" t="inlineStr">
        <is>
          <t>JSGE PUD GL 2026</t>
        </is>
      </c>
      <c r="G8" s="6" t="inlineStr">
        <is>
          <t>10.1007/s00535-026-02504-3</t>
        </is>
      </c>
      <c r="H8" s="2" t="inlineStr"/>
      <c r="I8" s="2" t="inlineStr">
        <is>
          <t>OPEN</t>
        </is>
      </c>
      <c r="J8" s="2" t="inlineStr">
        <is>
          <t>用量は保険診療上の用法と照合を要確認</t>
        </is>
      </c>
      <c r="K8" s="2" t="inlineStr"/>
      <c r="L8" s="2" t="inlineStr"/>
      <c r="M8" s="2" t="inlineStr"/>
      <c r="N8" s="3" t="inlineStr"/>
      <c r="O8" s="3" t="inlineStr"/>
      <c r="P8" s="3" t="inlineStr"/>
    </row>
    <row r="9">
      <c r="A9" s="2" t="inlineStr">
        <is>
          <t>HP-008</t>
        </is>
      </c>
      <c r="B9" s="2" t="inlineStr">
        <is>
          <t>draft</t>
        </is>
      </c>
      <c r="C9" s="2" t="inlineStr">
        <is>
          <t>欧州のMaastricht VI/Florenceコンセンサスは、感受性が不明な場合やCAM耐性率が15%を超える地域では、経験的一次治療として14日間のビスマス4剤療法を推奨している。</t>
        </is>
      </c>
      <c r="D9" s="2" t="inlineStr">
        <is>
          <t>region: EU；guideline: Maastricht VI</t>
        </is>
      </c>
      <c r="E9" s="2" t="inlineStr">
        <is>
          <t>鑑別：日本：VPZベース＋感受性検査（HP-004〜006）</t>
        </is>
      </c>
      <c r="F9" s="2" t="inlineStr">
        <is>
          <t>Malfertheiner P et al. Gut 2022;71:1724-62</t>
        </is>
      </c>
      <c r="G9" s="6" t="inlineStr">
        <is>
          <t>10.1136/gutjnl-2022-327745</t>
        </is>
      </c>
      <c r="H9" s="6" t="inlineStr">
        <is>
          <t>35944925</t>
        </is>
      </c>
      <c r="I9" s="2" t="inlineStr">
        <is>
          <t>RESTRICTED</t>
        </is>
      </c>
      <c r="J9" s="2" t="inlineStr">
        <is>
          <t>推奨文の詳細は二次文献（Microbiota journal 2023 review）経由。原著で要確認</t>
        </is>
      </c>
      <c r="K9" s="2" t="inlineStr"/>
      <c r="L9" s="2" t="inlineStr"/>
      <c r="M9" s="2" t="inlineStr"/>
      <c r="N9" s="3" t="inlineStr"/>
      <c r="O9" s="3" t="inlineStr"/>
      <c r="P9" s="3" t="inlineStr"/>
    </row>
    <row r="10">
      <c r="A10" s="2" t="inlineStr">
        <is>
          <t>HP-009</t>
        </is>
      </c>
      <c r="B10" s="2" t="inlineStr">
        <is>
          <t>draft</t>
        </is>
      </c>
      <c r="C10" s="2" t="inlineStr">
        <is>
          <t>米国ACG 2024は、未治療例の選択肢として最適化ビスマス4剤療法を優先し、感受性が確認されない限りCAMやレボフロキサシンを含むレジメンは避けるよう求めている。</t>
        </is>
      </c>
      <c r="D10" s="2" t="inlineStr">
        <is>
          <t>region: US；guideline: ACG 2024</t>
        </is>
      </c>
      <c r="E10" s="2" t="inlineStr">
        <is>
          <t>鑑別：米国のCAM耐性率は22.2〜31.5%、レボフロキサシン耐性率は37.6%と記載</t>
        </is>
      </c>
      <c r="F10" s="2" t="inlineStr">
        <is>
          <t>Chey WD et al. Am J Gastroenterol 2024;119:1730-53（要旨はJCAG誌の解説（CC BY）経由）</t>
        </is>
      </c>
      <c r="G10" s="6" t="inlineStr">
        <is>
          <t>10.14309/ajg.0000000000002968</t>
        </is>
      </c>
      <c r="H10" s="2" t="inlineStr"/>
      <c r="I10" s="2" t="inlineStr">
        <is>
          <t>RESTRICTED</t>
        </is>
      </c>
      <c r="J10" s="2" t="inlineStr"/>
      <c r="K10" s="2" t="inlineStr"/>
      <c r="L10" s="2" t="inlineStr"/>
      <c r="M10" s="2" t="inlineStr"/>
      <c r="N10" s="3" t="inlineStr"/>
      <c r="O10" s="3" t="inlineStr"/>
      <c r="P10" s="3" t="inlineStr"/>
    </row>
    <row r="11">
      <c r="A11" s="2" t="inlineStr">
        <is>
          <t>HP-010</t>
        </is>
      </c>
      <c r="B11" s="2" t="inlineStr">
        <is>
          <t>draft</t>
        </is>
      </c>
      <c r="C11" s="2" t="inlineStr">
        <is>
          <t>ACG 2024は、未治療例の選択肢として、ビスマス4剤のほか、リファブチン三剤、VPZ＋AMPC二剤、VPZ三剤（いずれも14日間）を挙げている。</t>
        </is>
      </c>
      <c r="D11" s="2" t="inlineStr">
        <is>
          <t>region: US</t>
        </is>
      </c>
      <c r="E11" s="2" t="inlineStr">
        <is>
          <t>誤解：米国でも日本と同じ7日間療法が標準</t>
        </is>
      </c>
      <c r="F11" s="2" t="inlineStr">
        <is>
          <t>JCAG 2025 commentary（academic.oup.com/jcag/article/8/3/85/8125707）</t>
        </is>
      </c>
      <c r="G11" s="2" t="inlineStr"/>
      <c r="H11" s="2" t="inlineStr"/>
      <c r="I11" s="2" t="inlineStr">
        <is>
          <t>OPEN</t>
        </is>
      </c>
      <c r="J11" s="2" t="inlineStr"/>
      <c r="K11" s="2" t="inlineStr"/>
      <c r="L11" s="2" t="inlineStr"/>
      <c r="M11" s="2" t="inlineStr"/>
      <c r="N11" s="3" t="inlineStr"/>
      <c r="O11" s="3" t="inlineStr"/>
      <c r="P11" s="3" t="inlineStr"/>
    </row>
    <row r="12">
      <c r="A12" s="2" t="inlineStr">
        <is>
          <t>HP-011</t>
        </is>
      </c>
      <c r="B12" s="2" t="inlineStr">
        <is>
          <t>draft</t>
        </is>
      </c>
      <c r="C12" s="2" t="inlineStr">
        <is>
          <t>PPI服用中は尿素呼気試験、迅速ウレアーゼ試験、ペプシノゲン値の信頼性が下がるため、診断にはこれらを用いない。</t>
        </is>
      </c>
      <c r="D12" s="2" t="inlineStr">
        <is>
          <t>region: JP；guideline: JSHR 2024 BQ</t>
        </is>
      </c>
      <c r="E12" s="2" t="inlineStr">
        <is>
          <t>鑑別：国内のモノクローナル抗体便中抗原検査は施設での検証後に使用可能；胃液の核酸増幅検査はPPIの影響を受けない
誤解：PPI内服中でも尿素呼気試験の陰性は信頼できる</t>
        </is>
      </c>
      <c r="F12" s="2" t="inlineStr">
        <is>
          <t>JSHR GL 2024 英語版</t>
        </is>
      </c>
      <c r="G12" s="6" t="inlineStr">
        <is>
          <t>10.1007/s00535-026-02379-4</t>
        </is>
      </c>
      <c r="H12" s="2" t="inlineStr"/>
      <c r="I12" s="2" t="inlineStr">
        <is>
          <t>OPEN</t>
        </is>
      </c>
      <c r="J12" s="2" t="inlineStr"/>
      <c r="K12" s="2" t="inlineStr"/>
      <c r="L12" s="2" t="inlineStr"/>
      <c r="M12" s="2" t="inlineStr"/>
      <c r="N12" s="3" t="inlineStr"/>
      <c r="O12" s="3" t="inlineStr"/>
      <c r="P12" s="3" t="inlineStr"/>
    </row>
    <row r="13">
      <c r="A13" s="2" t="inlineStr">
        <is>
          <t>HP-012</t>
        </is>
      </c>
      <c r="B13" s="2" t="inlineStr">
        <is>
          <t>draft</t>
        </is>
      </c>
      <c r="C13" s="2" t="inlineStr">
        <is>
          <t>除菌判定の検査前には、PPIを2週間以上、ビスマスと抗菌薬を4週間以上中止し、治療終了から4週間以上あけて判定する。</t>
        </is>
      </c>
      <c r="D13" s="2" t="inlineStr">
        <is>
          <t>region: US；guideline: ACG 2024（要旨）</t>
        </is>
      </c>
      <c r="E13" s="2" t="inlineStr">
        <is>
          <t>鑑別：H2RAや制酸薬は判定精度に影響しないとされる；血清抗体は除菌判定に用いない</t>
        </is>
      </c>
      <c r="F13" s="2" t="inlineStr">
        <is>
          <t>ACG 2024（Emory大学の要約資料経由）</t>
        </is>
      </c>
      <c r="G13" s="6" t="inlineStr">
        <is>
          <t>10.14309/ajg.0000000000002968</t>
        </is>
      </c>
      <c r="H13" s="2" t="inlineStr"/>
      <c r="I13" s="2" t="inlineStr">
        <is>
          <t>RESTRICTED</t>
        </is>
      </c>
      <c r="J13" s="2" t="inlineStr">
        <is>
          <t>日本のJSHR推奨期間との異同を要確認</t>
        </is>
      </c>
      <c r="K13" s="2" t="inlineStr"/>
      <c r="L13" s="2" t="inlineStr"/>
      <c r="M13" s="2" t="inlineStr"/>
      <c r="N13" s="3" t="inlineStr"/>
      <c r="O13" s="3" t="inlineStr"/>
      <c r="P13" s="3" t="inlineStr"/>
    </row>
    <row r="14">
      <c r="A14" s="2" t="inlineStr">
        <is>
          <t>HP-013</t>
        </is>
      </c>
      <c r="B14" s="2" t="inlineStr">
        <is>
          <t>draft</t>
        </is>
      </c>
      <c r="C14" s="2" t="inlineStr">
        <is>
          <t>尿素呼気試験のカットオフは除菌前で2.5〜3.5‰、除菌後で3.5〜4.0‰が適切とされ、除菌前に2.5‰を用いた場合の感度は96.2〜100%、特異度は83.3〜100%と報告されている。</t>
        </is>
      </c>
      <c r="D14" s="2" t="inlineStr">
        <is>
          <t>region: JP；guideline: JSHR 2024 CQ1-1（強い推奨, B）</t>
        </is>
      </c>
      <c r="E14" s="2" t="inlineStr"/>
      <c r="F14" s="2" t="inlineStr">
        <is>
          <t>JSHR GL 2024 英語版</t>
        </is>
      </c>
      <c r="G14" s="6" t="inlineStr">
        <is>
          <t>10.1007/s00535-026-02379-4</t>
        </is>
      </c>
      <c r="H14" s="2" t="inlineStr"/>
      <c r="I14" s="2" t="inlineStr">
        <is>
          <t>OPEN</t>
        </is>
      </c>
      <c r="J14" s="2" t="inlineStr"/>
      <c r="K14" s="2" t="inlineStr"/>
      <c r="L14" s="2" t="inlineStr"/>
      <c r="M14" s="2" t="inlineStr"/>
      <c r="N14" s="3" t="inlineStr"/>
      <c r="O14" s="3" t="inlineStr"/>
      <c r="P14" s="3" t="inlineStr"/>
    </row>
    <row r="15">
      <c r="A15" s="2" t="inlineStr">
        <is>
          <t>HP-014</t>
        </is>
      </c>
      <c r="B15" s="2" t="inlineStr">
        <is>
          <t>draft</t>
        </is>
      </c>
      <c r="C15" s="2" t="inlineStr">
        <is>
          <t>京都分類に基づく内視鏡所見のうち、現感染を最も強く示すのはびまん性発赤（診断オッズ比26.8）で、粘膜腫脹13.3、白濁粘液10.2、皺襞腫大8.6が続く。</t>
        </is>
      </c>
      <c r="D15" s="2" t="inlineStr">
        <is>
          <t>region: JP</t>
        </is>
      </c>
      <c r="E15" s="2" t="inlineStr">
        <is>
          <t>鑑別：びまん性発赤の改善は除菌成功の指標
誤解：RACが観察されれば現感染を疑う（RACはむしろ未感染の所見）</t>
        </is>
      </c>
      <c r="F15" s="2" t="inlineStr">
        <is>
          <t>Yoshii S et al. Dig Endosc 2020;32:74-83（JSHR GL 2024で引用）</t>
        </is>
      </c>
      <c r="G15" s="6" t="inlineStr">
        <is>
          <t>10.1007/s00535-026-02379-4（引用元）</t>
        </is>
      </c>
      <c r="H15" s="2" t="inlineStr"/>
      <c r="I15" s="2" t="inlineStr">
        <is>
          <t>UNKNOWN</t>
        </is>
      </c>
      <c r="J15" s="2" t="inlineStr">
        <is>
          <t>RACに関する誤解例は専門医確認を要する</t>
        </is>
      </c>
      <c r="K15" s="2" t="inlineStr"/>
      <c r="L15" s="2" t="inlineStr"/>
      <c r="M15" s="2" t="inlineStr"/>
      <c r="N15" s="3" t="inlineStr"/>
      <c r="O15" s="3" t="inlineStr"/>
      <c r="P15" s="3" t="inlineStr"/>
    </row>
    <row r="16">
      <c r="A16" s="2" t="inlineStr">
        <is>
          <t>HP-015</t>
        </is>
      </c>
      <c r="B16" s="2" t="inlineStr">
        <is>
          <t>draft</t>
        </is>
      </c>
      <c r="C16" s="2" t="inlineStr">
        <is>
          <t>JSHR 2024は、H. pylori感染症はすべて除菌の適応であるという基本方針を維持している。</t>
        </is>
      </c>
      <c r="D16" s="2" t="inlineStr">
        <is>
          <t>region: JP</t>
        </is>
      </c>
      <c r="E16" s="2" t="inlineStr">
        <is>
          <t>鑑別：米国ACGも『感染が判明した全例を治療』とする</t>
        </is>
      </c>
      <c r="F16" s="2" t="inlineStr">
        <is>
          <t>JSHR GL 2024 英語版（抄録）</t>
        </is>
      </c>
      <c r="G16" s="6" t="inlineStr">
        <is>
          <t>10.1007/s00535-026-02379-4</t>
        </is>
      </c>
      <c r="H16" s="2" t="inlineStr"/>
      <c r="I16" s="2" t="inlineStr">
        <is>
          <t>OPEN</t>
        </is>
      </c>
      <c r="J16" s="2" t="inlineStr"/>
      <c r="K16" s="2" t="inlineStr"/>
      <c r="L16" s="2" t="inlineStr"/>
      <c r="M16" s="2" t="inlineStr"/>
      <c r="N16" s="3" t="inlineStr"/>
      <c r="O16" s="3" t="inlineStr"/>
      <c r="P16" s="3" t="inlineStr"/>
    </row>
    <row r="17">
      <c r="A17" s="2" t="inlineStr">
        <is>
          <t>HP-016</t>
        </is>
      </c>
      <c r="B17" s="2" t="inlineStr">
        <is>
          <t>draft</t>
        </is>
      </c>
      <c r="C17" s="2" t="inlineStr">
        <is>
          <t>胃癌予防の観点からは、より若い年齢での除菌が推奨され、日本では中学生の時期での検査と除菌が予防戦略として強調されている。</t>
        </is>
      </c>
      <c r="D17" s="2" t="inlineStr">
        <is>
          <t>region: JP；population: 思春期</t>
        </is>
      </c>
      <c r="E17" s="2" t="inlineStr">
        <is>
          <t>鑑別：欧州小児ガイドラインは無症状小児へのtest-and-treatを推奨しない</t>
        </is>
      </c>
      <c r="F17" s="2" t="inlineStr">
        <is>
          <t>JSHR GL 2024 英語版</t>
        </is>
      </c>
      <c r="G17" s="6" t="inlineStr">
        <is>
          <t>10.1007/s00535-026-02379-4</t>
        </is>
      </c>
      <c r="H17" s="2" t="inlineStr"/>
      <c r="I17" s="2" t="inlineStr">
        <is>
          <t>OPEN</t>
        </is>
      </c>
      <c r="J17" s="2" t="inlineStr">
        <is>
          <t>推奨の強さとエビデンスレベルは要確認</t>
        </is>
      </c>
      <c r="K17" s="2" t="inlineStr"/>
      <c r="L17" s="2" t="inlineStr"/>
      <c r="M17" s="2" t="inlineStr"/>
      <c r="N17" s="3" t="inlineStr"/>
      <c r="O17" s="3" t="inlineStr"/>
      <c r="P17" s="3" t="inlineStr"/>
    </row>
    <row r="18">
      <c r="A18" s="2" t="inlineStr">
        <is>
          <t>HP-017</t>
        </is>
      </c>
      <c r="B18" s="2" t="inlineStr">
        <is>
          <t>draft</t>
        </is>
      </c>
      <c r="C18" s="2" t="inlineStr">
        <is>
          <t>京都グローバルコンセンサスは、H. pylori胃炎を症状の有無にかかわらず感染症として位置づけた。</t>
        </is>
      </c>
      <c r="D18" s="2" t="inlineStr">
        <is>
          <t>region: global</t>
        </is>
      </c>
      <c r="E18" s="2" t="inlineStr">
        <is>
          <t>誤解：無症状のH. pylori胃炎は治療対象ではない</t>
        </is>
      </c>
      <c r="F18" s="2" t="inlineStr">
        <is>
          <t>Sugano K et al. Gut 2015;64:1353-67</t>
        </is>
      </c>
      <c r="G18" s="6" t="inlineStr">
        <is>
          <t>10.1136/gutjnl-2015-309252</t>
        </is>
      </c>
      <c r="H18" s="6" t="inlineStr">
        <is>
          <t>26187502</t>
        </is>
      </c>
      <c r="I18" s="2" t="inlineStr">
        <is>
          <t>RESTRICTED</t>
        </is>
      </c>
      <c r="J18" s="2" t="inlineStr">
        <is>
          <t>『症状の有無にかかわらず』の表現は原著で要確認</t>
        </is>
      </c>
      <c r="K18" s="2" t="inlineStr"/>
      <c r="L18" s="2" t="inlineStr"/>
      <c r="M18" s="2" t="inlineStr"/>
      <c r="N18" s="3" t="inlineStr"/>
      <c r="O18" s="3" t="inlineStr"/>
      <c r="P18" s="3" t="inlineStr"/>
    </row>
    <row r="19">
      <c r="A19" s="2" t="inlineStr">
        <is>
          <t>HP-018</t>
        </is>
      </c>
      <c r="B19" s="2" t="inlineStr">
        <is>
          <t>draft</t>
        </is>
      </c>
      <c r="C19" s="2" t="inlineStr">
        <is>
          <t>日本の胃潰瘍患者数は2023年に年間19.4万人、十二指腸潰瘍は2.0万人まで減少し、40年前と比べるとそれぞれ約10分の1、約20分の1になった。</t>
        </is>
      </c>
      <c r="D19" s="2" t="inlineStr">
        <is>
          <t>region: JP；year: 2023</t>
        </is>
      </c>
      <c r="E19" s="2" t="inlineStr">
        <is>
          <t>鑑別：減少の背景：除菌の保険適用拡大、VPZの導入、薬剤性潰瘍の予防</t>
        </is>
      </c>
      <c r="F19" s="2" t="inlineStr">
        <is>
          <t>厚労省 患者調査2023（JSGE PUD GL 2026の序論で引用）</t>
        </is>
      </c>
      <c r="G19" s="2" t="inlineStr"/>
      <c r="H19" s="2" t="inlineStr"/>
      <c r="I19" s="2" t="inlineStr">
        <is>
          <t>UNKNOWN</t>
        </is>
      </c>
      <c r="J19" s="2" t="inlineStr"/>
      <c r="K19" s="2" t="inlineStr"/>
      <c r="L19" s="2" t="inlineStr"/>
      <c r="M19" s="2" t="inlineStr"/>
      <c r="N19" s="3" t="inlineStr"/>
      <c r="O19" s="3" t="inlineStr"/>
      <c r="P19" s="3" t="inlineStr"/>
    </row>
    <row r="20">
      <c r="A20" s="2" t="inlineStr">
        <is>
          <t>HP-019</t>
        </is>
      </c>
      <c r="B20" s="2" t="inlineStr">
        <is>
          <t>draft</t>
        </is>
      </c>
      <c r="C20" s="2" t="inlineStr">
        <is>
          <t>H. pylori陰性かつNSAID非使用の消化性潰瘍（特発性潰瘍）と、非H. pyloriヘリコバクター（NHPH）感染による潰瘍の増加が注目されている。</t>
        </is>
      </c>
      <c r="D20" s="2" t="inlineStr">
        <is>
          <t>region: JP</t>
        </is>
      </c>
      <c r="E20" s="2" t="inlineStr">
        <is>
          <t>誤解：H. pylori陰性でNSAIDも使っていなければ潰瘍は起こらない</t>
        </is>
      </c>
      <c r="F20" s="2" t="inlineStr">
        <is>
          <t>JSGE PUD GL 2026（抄録）</t>
        </is>
      </c>
      <c r="G20" s="6" t="inlineStr">
        <is>
          <t>10.1007/s00535-026-02504-3</t>
        </is>
      </c>
      <c r="H20" s="2" t="inlineStr"/>
      <c r="I20" s="2" t="inlineStr">
        <is>
          <t>OPEN</t>
        </is>
      </c>
      <c r="J20" s="2" t="inlineStr"/>
      <c r="K20" s="2" t="inlineStr"/>
      <c r="L20" s="2" t="inlineStr"/>
      <c r="M20" s="2" t="inlineStr"/>
      <c r="N20" s="3" t="inlineStr"/>
      <c r="O20" s="3" t="inlineStr"/>
      <c r="P20" s="3" t="inlineStr"/>
    </row>
    <row r="21">
      <c r="A21" s="2" t="inlineStr">
        <is>
          <t>HP-020</t>
        </is>
      </c>
      <c r="B21" s="2" t="inlineStr">
        <is>
          <t>draft</t>
        </is>
      </c>
      <c r="C21" s="2" t="inlineStr">
        <is>
          <t>H. pylori陽性の限局期胃MALTリンパ腫では、除菌療法が一次治療として位置づけられている。</t>
        </is>
      </c>
      <c r="D21" s="2" t="inlineStr">
        <is>
          <t>region: JP/EU</t>
        </is>
      </c>
      <c r="E21" s="2" t="inlineStr">
        <is>
          <t>鑑別：除菌後も残存・進行する場合は放射線療法などを検討</t>
        </is>
      </c>
      <c r="F21" s="2" t="inlineStr">
        <is>
          <t>JSHR GL 2024（除菌適応疾患の一覧）／Maastricht VI</t>
        </is>
      </c>
      <c r="G21" s="2" t="inlineStr"/>
      <c r="H21" s="2" t="inlineStr"/>
      <c r="I21" s="2" t="inlineStr">
        <is>
          <t>RESTRICTED</t>
        </is>
      </c>
      <c r="J21" s="2" t="inlineStr">
        <is>
          <t>該当CQ番号、寛解率の数値、t(11;18)陽性例の扱いは要確認。完全寛解率の一次ソース（メタ解析PMID）は未取得</t>
        </is>
      </c>
      <c r="K21" s="2" t="inlineStr"/>
      <c r="L21" s="2" t="inlineStr"/>
      <c r="M21" s="2" t="inlineStr"/>
      <c r="N21" s="3" t="inlineStr"/>
      <c r="O21" s="3" t="inlineStr"/>
      <c r="P21" s="3" t="inlineStr"/>
    </row>
  </sheetData>
  <autoFilter ref="A1:P21"/>
  <dataValidations count="1">
    <dataValidation sqref="N2:N21" showDropDown="0" showInputMessage="0" showErrorMessage="0" allowBlank="1" type="list">
      <formula1>"OK,修正,削除"</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H3"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H9" r:id="rId9"/>
    <hyperlink xmlns:r="http://schemas.openxmlformats.org/officeDocument/2006/relationships" ref="G10"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H18" r:id="rId18"/>
    <hyperlink xmlns:r="http://schemas.openxmlformats.org/officeDocument/2006/relationships" ref="G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2026-10-12T13:31:43Z</dcterms:created>
  <dcterms:modified xsi:type="dcterms:W3CDTF">2026-10-12T13:31:43Z</dcterms:modified>
</cp:coreProperties>
</file>